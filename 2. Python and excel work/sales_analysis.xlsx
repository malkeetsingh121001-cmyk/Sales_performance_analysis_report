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keet\Desktop\computer_languages\project_chatgpt\xl,bi,py\"/>
    </mc:Choice>
  </mc:AlternateContent>
  <xr:revisionPtr revIDLastSave="0" documentId="13_ncr:1_{81819F9A-DE3E-4821-8966-7DF33C7DA099}" xr6:coauthVersionLast="47" xr6:coauthVersionMax="47" xr10:uidLastSave="{00000000-0000-0000-0000-000000000000}"/>
  <bookViews>
    <workbookView xWindow="-110" yWindow="-110" windowWidth="19420" windowHeight="11020" activeTab="2" xr2:uid="{F1CB79ED-F8BC-40C7-81A4-DB5CA0EF7812}"/>
  </bookViews>
  <sheets>
    <sheet name="Sales_Data" sheetId="8" r:id="rId1"/>
    <sheet name="Analysis" sheetId="1" r:id="rId2"/>
    <sheet name="Pivot Analysis" sheetId="9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" i="1" l="1"/>
  <c r="K10" i="1"/>
  <c r="F10" i="1"/>
  <c r="A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C17518-D4CA-4276-BB90-C4EC1695ED59}" keepAlive="1" name="Query - Sales_Data" description="Connection to the 'Sales_Data' query in the workbook." type="5" refreshedVersion="0" background="1">
    <dbPr connection="Provider=Microsoft.Mashup.OleDb.1;Data Source=$Workbook$;Location=Sales_Data;Extended Properties=&quot;&quot;" command="SELECT * FROM [Sales_Data]"/>
  </connection>
  <connection id="2" xr16:uid="{87F4D9DD-BBB5-430C-AB5B-F4A54F38C625}" keepAlive="1" name="Query - Sales_Data (2)" description="Connection to the 'Sales_Data (2)' query in the workbook." type="5" refreshedVersion="0" background="1">
    <dbPr connection="Provider=Microsoft.Mashup.OleDb.1;Data Source=$Workbook$;Location=&quot;Sales_Data (2)&quot;;Extended Properties=&quot;&quot;" command="SELECT * FROM [Sales_Data (2)]"/>
  </connection>
</connections>
</file>

<file path=xl/sharedStrings.xml><?xml version="1.0" encoding="utf-8"?>
<sst xmlns="http://schemas.openxmlformats.org/spreadsheetml/2006/main" count="1006" uniqueCount="212">
  <si>
    <t>Order_ID</t>
  </si>
  <si>
    <t>Order_Date</t>
  </si>
  <si>
    <t>Customer</t>
  </si>
  <si>
    <t>City</t>
  </si>
  <si>
    <t>Product</t>
  </si>
  <si>
    <t>Category</t>
  </si>
  <si>
    <t>Quantity</t>
  </si>
  <si>
    <t>Unit_Price</t>
  </si>
  <si>
    <t>Salesperson</t>
  </si>
  <si>
    <t>Payment_Mode</t>
  </si>
  <si>
    <t>ORD-1001</t>
  </si>
  <si>
    <t>Farhan Ali</t>
  </si>
  <si>
    <t>Kolkata</t>
  </si>
  <si>
    <t>Wireless Mouse</t>
  </si>
  <si>
    <t>Accessories</t>
  </si>
  <si>
    <t>Sneha Iyer</t>
  </si>
  <si>
    <t>Cash</t>
  </si>
  <si>
    <t>ORD-1002</t>
  </si>
  <si>
    <t>Divya Menon</t>
  </si>
  <si>
    <t>Bengaluru</t>
  </si>
  <si>
    <t>Notebook Pack</t>
  </si>
  <si>
    <t>Stationery</t>
  </si>
  <si>
    <t>Amit Sharma</t>
  </si>
  <si>
    <t>ORD-1003</t>
  </si>
  <si>
    <t>Delta Works</t>
  </si>
  <si>
    <t>Desk Lamp</t>
  </si>
  <si>
    <t>Furniture</t>
  </si>
  <si>
    <t>Credit Card</t>
  </si>
  <si>
    <t>ORD-1004</t>
  </si>
  <si>
    <t>Aarav Traders</t>
  </si>
  <si>
    <t>Hyderabad</t>
  </si>
  <si>
    <t>Rohan Mehta</t>
  </si>
  <si>
    <t>Net Banking</t>
  </si>
  <si>
    <t>ORD-1005</t>
  </si>
  <si>
    <t>Delhi</t>
  </si>
  <si>
    <t>ORD-1006</t>
  </si>
  <si>
    <t>Bharat Mart</t>
  </si>
  <si>
    <t>Office Chair</t>
  </si>
  <si>
    <t>Vikram Singh</t>
  </si>
  <si>
    <t>ORD-1007</t>
  </si>
  <si>
    <t>Jatin Arora</t>
  </si>
  <si>
    <t>Laptop</t>
  </si>
  <si>
    <t>Electronics</t>
  </si>
  <si>
    <t>ORD-1008</t>
  </si>
  <si>
    <t>Lakshmi Agencies</t>
  </si>
  <si>
    <t>Mumbai</t>
  </si>
  <si>
    <t>Printer</t>
  </si>
  <si>
    <t>Priya Nair</t>
  </si>
  <si>
    <t>ORD-1009</t>
  </si>
  <si>
    <t>Meera Enterprises</t>
  </si>
  <si>
    <t>Smartphone</t>
  </si>
  <si>
    <t>ORD-1010</t>
  </si>
  <si>
    <t>ORD-1011</t>
  </si>
  <si>
    <t>Pune</t>
  </si>
  <si>
    <t>ORD-1012</t>
  </si>
  <si>
    <t>Chennai</t>
  </si>
  <si>
    <t>ORD-1013</t>
  </si>
  <si>
    <t>Zoya Retail</t>
  </si>
  <si>
    <t>Debit Card</t>
  </si>
  <si>
    <t>ORD-1014</t>
  </si>
  <si>
    <t>Isha Kapoor</t>
  </si>
  <si>
    <t>ORD-1015</t>
  </si>
  <si>
    <t>ORD-1016</t>
  </si>
  <si>
    <t>Kiran Stores</t>
  </si>
  <si>
    <t>ORD-1017</t>
  </si>
  <si>
    <t>Om Supplies</t>
  </si>
  <si>
    <t>ORD-1018</t>
  </si>
  <si>
    <t>ORD-1019</t>
  </si>
  <si>
    <t>Sunrise Offices</t>
  </si>
  <si>
    <t>Headphones</t>
  </si>
  <si>
    <t>ORD-1020</t>
  </si>
  <si>
    <t>ORD-1021</t>
  </si>
  <si>
    <t>Anita Desai</t>
  </si>
  <si>
    <t>ORD-1022</t>
  </si>
  <si>
    <t>ORD-1023</t>
  </si>
  <si>
    <t>ORD-1024</t>
  </si>
  <si>
    <t>ORD-1025</t>
  </si>
  <si>
    <t>Neha Boutique</t>
  </si>
  <si>
    <t>ORD-1026</t>
  </si>
  <si>
    <t>ORD-1027</t>
  </si>
  <si>
    <t>Pooja Verma</t>
  </si>
  <si>
    <t>ORD-1028</t>
  </si>
  <si>
    <t>ORD-1029</t>
  </si>
  <si>
    <t>ORD-1030</t>
  </si>
  <si>
    <t>ORD-1031</t>
  </si>
  <si>
    <t>Tara Tech</t>
  </si>
  <si>
    <t>ORD-1032</t>
  </si>
  <si>
    <t>ORD-1033</t>
  </si>
  <si>
    <t>ORD-1034</t>
  </si>
  <si>
    <t>Bombay</t>
  </si>
  <si>
    <t>ORD-1035</t>
  </si>
  <si>
    <t>ORD-1036</t>
  </si>
  <si>
    <t>ORD-1037</t>
  </si>
  <si>
    <t>Rahul Gupta</t>
  </si>
  <si>
    <t>ORD-1038</t>
  </si>
  <si>
    <t>Wireless  Mouse</t>
  </si>
  <si>
    <t>ORD-1039</t>
  </si>
  <si>
    <t>Harsh Patel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</si>
  <si>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</si>
  <si>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</si>
  <si>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</si>
  <si>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</si>
  <si>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</si>
  <si>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</si>
  <si>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</si>
  <si>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</si>
  <si>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</si>
  <si>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</si>
  <si>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</si>
  <si>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</si>
  <si>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</si>
  <si>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Suresh Kumar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</si>
  <si>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</si>
  <si>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</si>
  <si>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</si>
  <si>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</si>
  <si>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</si>
  <si>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</si>
  <si>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</si>
  <si>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</si>
  <si>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</si>
  <si>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</si>
  <si>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</si>
  <si>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</si>
  <si>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</si>
  <si>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</si>
  <si>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</si>
  <si>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</si>
  <si>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</si>
  <si>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</si>
  <si>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</si>
  <si>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</si>
  <si>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Sneha  Iyer</t>
  </si>
  <si>
    <t>ORD-1073</t>
  </si>
  <si>
    <t>ORD-1074</t>
  </si>
  <si>
    <t>ORD-1075</t>
  </si>
  <si>
    <t>ORD-1076</t>
  </si>
  <si>
    <t>Bangalore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</si>
  <si>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</si>
  <si>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</si>
  <si>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</si>
  <si>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</si>
  <si>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</si>
  <si>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</si>
  <si>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</si>
  <si>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</si>
  <si>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</si>
  <si>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</si>
  <si>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</si>
  <si>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</si>
  <si>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</si>
  <si>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</si>
  <si>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</si>
  <si>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</si>
  <si>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</si>
  <si>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</si>
  <si>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</si>
  <si>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</si>
  <si>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</si>
  <si>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</si>
  <si>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</si>
  <si>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</si>
  <si>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</si>
  <si>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</si>
  <si>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</si>
  <si>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</si>
  <si>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</si>
  <si>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</si>
  <si>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</si>
  <si>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</si>
  <si>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</si>
  <si>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</si>
  <si>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</si>
  <si>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</si>
  <si>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</si>
  <si>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</si>
  <si>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</si>
  <si>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</si>
  <si>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</si>
  <si>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</si>
  <si>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</si>
  <si>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</si>
  <si>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</si>
  <si>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</si>
  <si>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</si>
  <si>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</si>
  <si>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</si>
  <si>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</si>
  <si>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</si>
  <si>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</si>
  <si>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</si>
  <si>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</si>
  <si>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</si>
  <si>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</si>
  <si>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</si>
  <si>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</si>
  <si>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</si>
  <si>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</si>
  <si>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</si>
  <si>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SUM OF SALES</t>
  </si>
  <si>
    <t>Sales</t>
  </si>
  <si>
    <t>AVERAGE SALES</t>
  </si>
  <si>
    <t>MAXIMUM SALES</t>
  </si>
  <si>
    <t>ANALYSIS REPORT</t>
  </si>
  <si>
    <t>COUNT ORDER_ID</t>
  </si>
  <si>
    <t>Grand Total</t>
  </si>
  <si>
    <t>Row Labels</t>
  </si>
  <si>
    <t>Sum of Sales</t>
  </si>
  <si>
    <t>Count of Order_ID</t>
  </si>
  <si>
    <t>PIVOT ANALYSIS</t>
  </si>
  <si>
    <t>Upi</t>
  </si>
  <si>
    <t>Head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</si>
</sst>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u/>
      <sz val="18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u/>
      <sz val="24"/>
      <color theme="1"/>
      <name val="Aptos Narrow"/>
      <family val="2"/>
      <scheme val="minor"/>
    </font>
    <font>
      <b/>
      <i/>
      <u/>
      <sz val="3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" fontId="0" fillId="0" borderId="0" xfId="0" applyNumberFormat="1"/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0" xfId="0" applyNumberFormat="1"/>
    <xf numFmtId="0" fontId="0" fillId="3" borderId="2" xfId="0" applyFont="1" applyFill="1" applyBorder="1"/>
    <xf numFmtId="0" fontId="0" fillId="3" borderId="2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23" xfId="0" applyFont="1" applyFill="1" applyBorder="1"/>
    <xf numFmtId="0" fontId="0" fillId="3" borderId="3" xfId="0" applyNumberFormat="1" applyFont="1" applyFill="1" applyBorder="1"/>
    <xf numFmtId="14" fontId="0" fillId="3" borderId="4" xfId="0" applyNumberFormat="1" applyFont="1" applyFill="1" applyBorder="1"/>
    <xf numFmtId="0" fontId="0" fillId="3" borderId="4" xfId="0" applyNumberFormat="1" applyFont="1" applyFill="1" applyBorder="1"/>
    <xf numFmtId="0" fontId="0" fillId="3" borderId="4" xfId="0" applyFont="1" applyFill="1" applyBorder="1"/>
    <xf numFmtId="0" fontId="0" fillId="3" borderId="23" xfId="0" applyFont="1" applyFill="1" applyBorder="1"/>
    <xf numFmtId="0" fontId="0" fillId="0" borderId="3" xfId="0" applyNumberFormat="1" applyFont="1" applyBorder="1"/>
    <xf numFmtId="14" fontId="0" fillId="0" borderId="4" xfId="0" applyNumberFormat="1" applyFont="1" applyBorder="1"/>
    <xf numFmtId="0" fontId="0" fillId="0" borderId="4" xfId="0" applyNumberFormat="1" applyFont="1" applyBorder="1"/>
    <xf numFmtId="0" fontId="0" fillId="0" borderId="4" xfId="0" applyFont="1" applyBorder="1"/>
    <xf numFmtId="0" fontId="0" fillId="0" borderId="23" xfId="0" applyFont="1" applyBorder="1"/>
    <xf numFmtId="0" fontId="0" fillId="3" borderId="1" xfId="0" applyNumberFormat="1" applyFont="1" applyFill="1" applyBorder="1"/>
    <xf numFmtId="14" fontId="0" fillId="3" borderId="2" xfId="0" applyNumberFormat="1" applyFont="1" applyFill="1" applyBorder="1"/>
    <xf numFmtId="0" fontId="0" fillId="3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6" fillId="6" borderId="14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keet" refreshedDate="46297.780019791666" createdVersion="8" refreshedVersion="8" minRefreshableVersion="3" recordCount="137" xr:uid="{C5E5AFD3-B229-4C65-BA7F-4AFA784658BF}">
  <cacheSource type="worksheet">
    <worksheetSource ref="A1:K138" sheet="Sales_Data"/>
  </cacheSource>
  <cacheFields count="11">
    <cacheField name="Order_ID" numFmtId="0">
      <sharedItems/>
    </cacheField>
    <cacheField name="Order_Date" numFmtId="14">
      <sharedItems containsNonDate="0" containsDate="1" containsString="0" containsBlank="1" minDate="2025-01-02T00:00:00" maxDate="2025-07-01T00:00:00"/>
    </cacheField>
    <cacheField name="Customer" numFmtId="0">
      <sharedItems/>
    </cacheField>
    <cacheField name="City" numFmtId="0">
      <sharedItems/>
    </cacheField>
    <cacheField name="Product" numFmtId="0">
      <sharedItems count="10">
        <s v="Wireless Mouse"/>
        <s v="Notebook Pack"/>
        <s v="Desk Lamp"/>
        <s v="Office Chair"/>
        <s v="Laptop"/>
        <s v="Printer"/>
        <s v="Smartphone"/>
        <s v="Headphones"/>
        <s v="Wireless  Mouse"/>
        <s v="Head Phones"/>
      </sharedItems>
    </cacheField>
    <cacheField name="Category" numFmtId="0">
      <sharedItems count="4">
        <s v="Accessories"/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containsInteger="1" minValue="450" maxValue="52000"/>
    </cacheField>
    <cacheField name="Salesperson" numFmtId="0">
      <sharedItems count="6">
        <s v="Sneha Iyer"/>
        <s v="Amit Sharma"/>
        <s v="Rohan Mehta"/>
        <s v="Vikram Singh"/>
        <s v="Priya Nair"/>
        <s v="Sneha  Iyer"/>
      </sharedItems>
    </cacheField>
    <cacheField name="Payment_Mode" numFmtId="0">
      <sharedItems/>
    </cacheField>
    <cacheField name="Sales" numFmtId="0">
      <sharedItems containsSemiMixedTypes="0" containsString="0" containsNumber="1" containsInteger="1" minValue="450" maxValue="62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s v="ORD-1001"/>
    <d v="2025-01-02T00:00:00"/>
    <s v="Farhan Ali"/>
    <s v="Kolkata"/>
    <x v="0"/>
    <x v="0"/>
    <n v="2"/>
    <n v="750"/>
    <x v="0"/>
    <s v="Cash"/>
    <n v="1500"/>
  </r>
  <r>
    <s v="ORD-1002"/>
    <d v="2025-01-07T00:00:00"/>
    <s v="Divya Menon"/>
    <s v="Bengaluru"/>
    <x v="1"/>
    <x v="1"/>
    <n v="9"/>
    <n v="450"/>
    <x v="1"/>
    <s v="Upi"/>
    <n v="4050"/>
  </r>
  <r>
    <s v="ORD-1003"/>
    <d v="2025-01-07T00:00:00"/>
    <s v="Delta Works"/>
    <s v="Delhi"/>
    <x v="2"/>
    <x v="2"/>
    <n v="5"/>
    <n v="1200"/>
    <x v="0"/>
    <s v="Credit Card"/>
    <n v="6000"/>
  </r>
  <r>
    <s v="ORD-1004"/>
    <d v="2025-01-08T00:00:00"/>
    <s v="Aarav Traders"/>
    <s v="Hyderabad"/>
    <x v="1"/>
    <x v="1"/>
    <n v="12"/>
    <n v="450"/>
    <x v="2"/>
    <s v="Net Banking"/>
    <n v="5400"/>
  </r>
  <r>
    <s v="ORD-1005"/>
    <d v="2025-01-09T00:00:00"/>
    <s v="Divya Menon"/>
    <s v="Delhi"/>
    <x v="0"/>
    <x v="0"/>
    <n v="11"/>
    <n v="750"/>
    <x v="2"/>
    <s v="Net Banking"/>
    <n v="8250"/>
  </r>
  <r>
    <s v="ORD-1006"/>
    <d v="2025-01-09T00:00:00"/>
    <s v="Bharat Mart"/>
    <s v="Bengaluru"/>
    <x v="3"/>
    <x v="2"/>
    <n v="3"/>
    <n v="6800"/>
    <x v="3"/>
    <s v="Net Banking"/>
    <n v="20400"/>
  </r>
  <r>
    <s v="ORD-1007"/>
    <d v="2025-01-12T00:00:00"/>
    <s v="Jatin Arora"/>
    <s v="Bengaluru"/>
    <x v="4"/>
    <x v="3"/>
    <n v="8"/>
    <n v="52000"/>
    <x v="1"/>
    <s v="Upi"/>
    <n v="416000"/>
  </r>
  <r>
    <s v="ORD-1008"/>
    <d v="2025-01-12T00:00:00"/>
    <s v="Lakshmi Agencies"/>
    <s v="Mumbai"/>
    <x v="5"/>
    <x v="3"/>
    <n v="1"/>
    <n v="9500"/>
    <x v="4"/>
    <s v="Net Banking"/>
    <n v="9500"/>
  </r>
  <r>
    <s v="ORD-1009"/>
    <d v="2025-01-13T00:00:00"/>
    <s v="Meera Enterprises"/>
    <s v="Hyderabad"/>
    <x v="6"/>
    <x v="3"/>
    <n v="8"/>
    <n v="24000"/>
    <x v="1"/>
    <s v="Net Banking"/>
    <n v="192000"/>
  </r>
  <r>
    <s v="ORD-1010"/>
    <d v="2025-01-15T00:00:00"/>
    <s v="Bharat Mart"/>
    <s v="Hyderabad"/>
    <x v="0"/>
    <x v="0"/>
    <n v="8"/>
    <n v="750"/>
    <x v="3"/>
    <s v="Credit Card"/>
    <n v="6000"/>
  </r>
  <r>
    <s v="ORD-1011"/>
    <d v="2025-01-17T00:00:00"/>
    <s v="Divya Menon"/>
    <s v="Pune"/>
    <x v="2"/>
    <x v="2"/>
    <n v="10"/>
    <n v="1200"/>
    <x v="0"/>
    <s v="Credit Card"/>
    <n v="12000"/>
  </r>
  <r>
    <s v="ORD-1012"/>
    <d v="2025-01-18T00:00:00"/>
    <s v="Lakshmi Agencies"/>
    <s v="Chennai"/>
    <x v="3"/>
    <x v="2"/>
    <n v="11"/>
    <n v="6800"/>
    <x v="2"/>
    <s v="Cash"/>
    <n v="74800"/>
  </r>
  <r>
    <s v="ORD-1013"/>
    <d v="2025-01-19T00:00:00"/>
    <s v="Zoya Retail"/>
    <s v="Mumbai"/>
    <x v="1"/>
    <x v="1"/>
    <n v="4"/>
    <n v="450"/>
    <x v="1"/>
    <s v="Debit Card"/>
    <n v="1800"/>
  </r>
  <r>
    <s v="ORD-1014"/>
    <d v="2025-01-21T00:00:00"/>
    <s v="Isha Kapoor"/>
    <s v="Kolkata"/>
    <x v="4"/>
    <x v="3"/>
    <n v="4"/>
    <n v="52000"/>
    <x v="3"/>
    <s v="Credit Card"/>
    <n v="208000"/>
  </r>
  <r>
    <s v="ORD-1015"/>
    <d v="2025-01-21T00:00:00"/>
    <s v="Meera Enterprises"/>
    <s v="Hyderabad"/>
    <x v="4"/>
    <x v="3"/>
    <n v="11"/>
    <n v="52000"/>
    <x v="1"/>
    <s v="Credit Card"/>
    <n v="572000"/>
  </r>
  <r>
    <s v="ORD-1016"/>
    <d v="2025-01-23T00:00:00"/>
    <s v="Kiran Stores"/>
    <s v="Pune"/>
    <x v="6"/>
    <x v="3"/>
    <n v="6"/>
    <n v="24000"/>
    <x v="1"/>
    <s v="Net Banking"/>
    <n v="144000"/>
  </r>
  <r>
    <s v="ORD-1017"/>
    <d v="2025-01-24T00:00:00"/>
    <s v="Om Supplies"/>
    <s v="Hyderabad"/>
    <x v="3"/>
    <x v="2"/>
    <n v="8"/>
    <n v="6800"/>
    <x v="4"/>
    <s v="Net Banking"/>
    <n v="54400"/>
  </r>
  <r>
    <s v="ORD-1018"/>
    <d v="2025-01-24T00:00:00"/>
    <s v="Isha Kapoor"/>
    <s v="Kolkata"/>
    <x v="0"/>
    <x v="0"/>
    <n v="8"/>
    <n v="750"/>
    <x v="4"/>
    <s v="Cash"/>
    <n v="6000"/>
  </r>
  <r>
    <s v="ORD-1019"/>
    <d v="2025-01-24T00:00:00"/>
    <s v="Sunrise Offices"/>
    <s v="Delhi"/>
    <x v="7"/>
    <x v="0"/>
    <n v="2"/>
    <n v="2300"/>
    <x v="0"/>
    <s v="Debit Card"/>
    <n v="4600"/>
  </r>
  <r>
    <s v="ORD-1020"/>
    <d v="2025-01-25T00:00:00"/>
    <s v="Farhan Ali"/>
    <s v="Chennai"/>
    <x v="7"/>
    <x v="0"/>
    <n v="12"/>
    <n v="2300"/>
    <x v="1"/>
    <s v="Upi"/>
    <n v="27600"/>
  </r>
  <r>
    <s v="ORD-1021"/>
    <d v="2025-01-26T00:00:00"/>
    <s v="Anita Desai"/>
    <s v="Hyderabad"/>
    <x v="4"/>
    <x v="3"/>
    <n v="6"/>
    <n v="52000"/>
    <x v="1"/>
    <s v="Credit Card"/>
    <n v="312000"/>
  </r>
  <r>
    <s v="ORD-1022"/>
    <d v="2025-01-27T00:00:00"/>
    <s v="Sunrise Offices"/>
    <s v="Kolkata"/>
    <x v="3"/>
    <x v="2"/>
    <n v="8"/>
    <n v="6800"/>
    <x v="4"/>
    <s v="Cash"/>
    <n v="54400"/>
  </r>
  <r>
    <s v="ORD-1023"/>
    <d v="2025-01-27T00:00:00"/>
    <s v="Om Supplies"/>
    <s v="Chennai"/>
    <x v="0"/>
    <x v="0"/>
    <n v="4"/>
    <n v="750"/>
    <x v="1"/>
    <s v="Cash"/>
    <n v="3000"/>
  </r>
  <r>
    <s v="ORD-1024"/>
    <d v="2025-01-29T00:00:00"/>
    <s v="Kiran Stores"/>
    <s v="Hyderabad"/>
    <x v="6"/>
    <x v="3"/>
    <n v="9"/>
    <n v="24000"/>
    <x v="1"/>
    <s v="Upi"/>
    <n v="216000"/>
  </r>
  <r>
    <s v="ORD-1025"/>
    <d v="2025-01-29T00:00:00"/>
    <s v="Neha Boutique"/>
    <s v="Chennai"/>
    <x v="3"/>
    <x v="2"/>
    <n v="8"/>
    <n v="6800"/>
    <x v="0"/>
    <s v="Credit Card"/>
    <n v="54400"/>
  </r>
  <r>
    <s v="ORD-1026"/>
    <d v="2025-02-01T00:00:00"/>
    <s v="Kiran Stores"/>
    <s v="Mumbai"/>
    <x v="7"/>
    <x v="0"/>
    <n v="7"/>
    <n v="2300"/>
    <x v="1"/>
    <s v="Cash"/>
    <n v="16100"/>
  </r>
  <r>
    <s v="ORD-1027"/>
    <d v="2025-02-05T00:00:00"/>
    <s v="Pooja Verma"/>
    <s v="Bengaluru"/>
    <x v="2"/>
    <x v="2"/>
    <n v="7"/>
    <n v="1200"/>
    <x v="3"/>
    <s v="Cash"/>
    <n v="8400"/>
  </r>
  <r>
    <s v="ORD-1028"/>
    <d v="2025-02-05T00:00:00"/>
    <s v="Sunrise Offices"/>
    <s v="Bengaluru"/>
    <x v="0"/>
    <x v="0"/>
    <n v="4"/>
    <n v="750"/>
    <x v="1"/>
    <s v="Net Banking"/>
    <n v="3000"/>
  </r>
  <r>
    <s v="ORD-1029"/>
    <d v="2025-02-05T00:00:00"/>
    <s v="Delta Works"/>
    <s v="Delhi"/>
    <x v="4"/>
    <x v="3"/>
    <n v="1"/>
    <n v="52000"/>
    <x v="3"/>
    <s v="Cash"/>
    <n v="52000"/>
  </r>
  <r>
    <s v="ORD-1030"/>
    <d v="2025-02-06T00:00:00"/>
    <s v="Kiran Stores"/>
    <s v="Kolkata"/>
    <x v="0"/>
    <x v="0"/>
    <n v="2"/>
    <n v="750"/>
    <x v="4"/>
    <s v="Upi"/>
    <n v="1500"/>
  </r>
  <r>
    <s v="ORD-1031"/>
    <d v="2025-02-09T00:00:00"/>
    <s v="Tara Tech"/>
    <s v="Chennai"/>
    <x v="6"/>
    <x v="3"/>
    <n v="2"/>
    <n v="24000"/>
    <x v="3"/>
    <s v="Credit Card"/>
    <n v="48000"/>
  </r>
  <r>
    <s v="ORD-1032"/>
    <d v="2025-02-09T00:00:00"/>
    <s v="Jatin Arora"/>
    <s v="Delhi"/>
    <x v="4"/>
    <x v="3"/>
    <n v="7"/>
    <n v="52000"/>
    <x v="3"/>
    <s v="Net Banking"/>
    <n v="364000"/>
  </r>
  <r>
    <s v="ORD-1033"/>
    <d v="2025-02-10T00:00:00"/>
    <s v="Om Supplies"/>
    <s v="Mumbai"/>
    <x v="5"/>
    <x v="3"/>
    <n v="11"/>
    <n v="9500"/>
    <x v="2"/>
    <s v="Credit Card"/>
    <n v="104500"/>
  </r>
  <r>
    <s v="ORD-1034"/>
    <d v="2025-02-11T00:00:00"/>
    <s v="Anita Desai"/>
    <s v="Bombay"/>
    <x v="2"/>
    <x v="2"/>
    <n v="11"/>
    <n v="1200"/>
    <x v="2"/>
    <s v="Cash"/>
    <n v="13200"/>
  </r>
  <r>
    <s v="ORD-1035"/>
    <d v="2025-02-11T00:00:00"/>
    <s v="Meera Enterprises"/>
    <s v="Delhi"/>
    <x v="5"/>
    <x v="3"/>
    <n v="8"/>
    <n v="9500"/>
    <x v="3"/>
    <s v="Net Banking"/>
    <n v="76000"/>
  </r>
  <r>
    <s v="ORD-1036"/>
    <d v="2025-02-13T00:00:00"/>
    <s v="Meera Enterprises"/>
    <s v="Kolkata"/>
    <x v="6"/>
    <x v="3"/>
    <n v="4"/>
    <n v="24000"/>
    <x v="3"/>
    <s v="Debit Card"/>
    <n v="96000"/>
  </r>
  <r>
    <s v="ORD-1037"/>
    <d v="2025-02-19T00:00:00"/>
    <s v="Rahul Gupta"/>
    <s v="Delhi"/>
    <x v="0"/>
    <x v="0"/>
    <n v="4"/>
    <n v="750"/>
    <x v="2"/>
    <s v="Debit Card"/>
    <n v="3000"/>
  </r>
  <r>
    <s v="ORD-1038"/>
    <d v="2025-02-20T00:00:00"/>
    <s v="Pooja Verma"/>
    <s v="Pune"/>
    <x v="8"/>
    <x v="0"/>
    <n v="9"/>
    <n v="750"/>
    <x v="2"/>
    <s v="Net Banking"/>
    <n v="6750"/>
  </r>
  <r>
    <s v="ORD-1039"/>
    <d v="2025-02-23T00:00:00"/>
    <s v="Harsh Patel"/>
    <s v="Bengaluru"/>
    <x v="4"/>
    <x v="3"/>
    <n v="11"/>
    <n v="52000"/>
    <x v="1"/>
    <s v="Credit Card"/>
    <n v="572000"/>
  </r>
  <r>
    <s v="ORD-1040"/>
    <d v="2025-02-24T00:00:00"/>
    <s v="Zoya Retail"/>
    <s v="Delhi"/>
    <x v="2"/>
    <x v="2"/>
    <n v="12"/>
    <n v="1200"/>
    <x v="3"/>
    <s v="Credit Card"/>
    <n v="14400"/>
  </r>
  <r>
    <s v="ORD-1041"/>
    <d v="2025-02-24T00:00:00"/>
    <s v="Lakshmi Agencies"/>
    <s v="Kolkata"/>
    <x v="2"/>
    <x v="2"/>
    <n v="4"/>
    <n v="1200"/>
    <x v="2"/>
    <s v="Credit Card"/>
    <n v="4800"/>
  </r>
  <r>
    <s v="ORD-1042"/>
    <d v="2025-02-25T00:00:00"/>
    <s v="Divya Menon"/>
    <s v="Chennai"/>
    <x v="2"/>
    <x v="2"/>
    <n v="5"/>
    <n v="1200"/>
    <x v="1"/>
    <s v="Upi"/>
    <n v="6000"/>
  </r>
  <r>
    <s v="ORD-1043"/>
    <d v="2025-02-25T00:00:00"/>
    <s v="Om Supplies"/>
    <s v="Delhi"/>
    <x v="7"/>
    <x v="0"/>
    <n v="1"/>
    <n v="2300"/>
    <x v="2"/>
    <s v="Credit Card"/>
    <n v="2300"/>
  </r>
  <r>
    <s v="ORD-1044"/>
    <d v="2025-02-26T00:00:00"/>
    <s v="Neha Boutique"/>
    <s v="Hyderabad"/>
    <x v="2"/>
    <x v="2"/>
    <n v="8"/>
    <n v="1200"/>
    <x v="3"/>
    <s v="Cash"/>
    <n v="9600"/>
  </r>
  <r>
    <s v="ORD-1045"/>
    <m/>
    <s v="Zoya Retail"/>
    <s v="Delhi"/>
    <x v="4"/>
    <x v="3"/>
    <n v="12"/>
    <n v="52000"/>
    <x v="4"/>
    <s v="Net Banking"/>
    <n v="624000"/>
  </r>
  <r>
    <s v="ORD-1046"/>
    <d v="2025-02-26T00:00:00"/>
    <s v="Rahul Gupta"/>
    <s v="Kolkata"/>
    <x v="4"/>
    <x v="3"/>
    <n v="9"/>
    <n v="52000"/>
    <x v="4"/>
    <s v="Cash"/>
    <n v="468000"/>
  </r>
  <r>
    <s v="ORD-1047"/>
    <d v="2025-02-27T00:00:00"/>
    <s v="Kiran Stores"/>
    <s v="Bengaluru"/>
    <x v="0"/>
    <x v="0"/>
    <n v="6"/>
    <n v="750"/>
    <x v="1"/>
    <s v="Debit Card"/>
    <n v="4500"/>
  </r>
  <r>
    <s v="ORD-1048"/>
    <d v="2025-02-28T00:00:00"/>
    <s v="Tara Tech"/>
    <s v="Hyderabad"/>
    <x v="3"/>
    <x v="2"/>
    <n v="2"/>
    <n v="6800"/>
    <x v="2"/>
    <s v="Net Banking"/>
    <n v="13600"/>
  </r>
  <r>
    <s v="ORD-1049"/>
    <d v="2025-02-28T00:00:00"/>
    <s v="Jatin Arora"/>
    <s v="Hyderabad"/>
    <x v="7"/>
    <x v="0"/>
    <n v="3"/>
    <n v="2300"/>
    <x v="4"/>
    <s v="Credit Card"/>
    <n v="6900"/>
  </r>
  <r>
    <s v="ORD-1050"/>
    <d v="2025-03-01T00:00:00"/>
    <s v="Farhan Ali"/>
    <s v="Delhi"/>
    <x v="0"/>
    <x v="0"/>
    <n v="3"/>
    <n v="750"/>
    <x v="2"/>
    <s v="Cash"/>
    <n v="2250"/>
  </r>
  <r>
    <s v="ORD-1051"/>
    <d v="2025-03-01T00:00:00"/>
    <s v="Om Supplies"/>
    <s v="Mumbai"/>
    <x v="3"/>
    <x v="2"/>
    <n v="12"/>
    <n v="6800"/>
    <x v="1"/>
    <s v="Cash"/>
    <n v="81600"/>
  </r>
  <r>
    <s v="ORD-1052"/>
    <d v="2025-03-04T00:00:00"/>
    <s v="Suresh Kumar"/>
    <s v="Mumbai"/>
    <x v="4"/>
    <x v="3"/>
    <n v="4"/>
    <n v="52000"/>
    <x v="0"/>
    <s v="Debit Card"/>
    <n v="208000"/>
  </r>
  <r>
    <s v="ORD-1053"/>
    <d v="2025-03-04T00:00:00"/>
    <s v="Tara Tech"/>
    <s v="Mumbai"/>
    <x v="2"/>
    <x v="2"/>
    <n v="1"/>
    <n v="1200"/>
    <x v="4"/>
    <s v="Cash"/>
    <n v="1200"/>
  </r>
  <r>
    <s v="ORD-1054"/>
    <d v="2025-03-05T00:00:00"/>
    <s v="Om Supplies"/>
    <s v="Pune"/>
    <x v="5"/>
    <x v="3"/>
    <n v="2"/>
    <n v="9500"/>
    <x v="2"/>
    <s v="Debit Card"/>
    <n v="19000"/>
  </r>
  <r>
    <s v="ORD-1055"/>
    <d v="2025-03-09T00:00:00"/>
    <s v="Harsh Patel"/>
    <s v="Bengaluru"/>
    <x v="7"/>
    <x v="0"/>
    <n v="1"/>
    <n v="2300"/>
    <x v="1"/>
    <s v="Debit Card"/>
    <n v="2300"/>
  </r>
  <r>
    <s v="ORD-1056"/>
    <d v="2025-03-09T00:00:00"/>
    <s v="Isha Kapoor"/>
    <s v="Bengaluru"/>
    <x v="0"/>
    <x v="0"/>
    <n v="1"/>
    <n v="750"/>
    <x v="1"/>
    <s v="Net Banking"/>
    <n v="750"/>
  </r>
  <r>
    <s v="ORD-1057"/>
    <d v="2025-03-09T00:00:00"/>
    <s v="Rahul Gupta"/>
    <s v="Hyderabad"/>
    <x v="7"/>
    <x v="0"/>
    <n v="6"/>
    <n v="2300"/>
    <x v="0"/>
    <s v="Net Banking"/>
    <n v="13800"/>
  </r>
  <r>
    <s v="ORD-1058"/>
    <d v="2025-03-10T00:00:00"/>
    <s v="Anita Desai"/>
    <s v="Kolkata"/>
    <x v="6"/>
    <x v="3"/>
    <n v="4"/>
    <n v="24000"/>
    <x v="2"/>
    <s v="Upi"/>
    <n v="96000"/>
  </r>
  <r>
    <s v="ORD-1059"/>
    <d v="2025-03-10T00:00:00"/>
    <s v="Aarav Traders"/>
    <s v="Kolkata"/>
    <x v="7"/>
    <x v="0"/>
    <n v="9"/>
    <n v="2300"/>
    <x v="4"/>
    <s v="Debit Card"/>
    <n v="20700"/>
  </r>
  <r>
    <s v="ORD-1060"/>
    <d v="2025-03-11T00:00:00"/>
    <s v="Meera Enterprises"/>
    <s v="Hyderabad"/>
    <x v="7"/>
    <x v="0"/>
    <n v="6"/>
    <n v="2300"/>
    <x v="3"/>
    <s v="Debit Card"/>
    <n v="13800"/>
  </r>
  <r>
    <s v="ORD-1061"/>
    <d v="2025-03-12T00:00:00"/>
    <s v="Lakshmi Agencies"/>
    <s v="Kolkata"/>
    <x v="6"/>
    <x v="3"/>
    <n v="5"/>
    <n v="24000"/>
    <x v="0"/>
    <s v="Debit Card"/>
    <n v="120000"/>
  </r>
  <r>
    <s v="ORD-1062"/>
    <d v="2025-03-13T00:00:00"/>
    <s v="Lakshmi Agencies"/>
    <s v="Kolkata"/>
    <x v="7"/>
    <x v="0"/>
    <n v="3"/>
    <n v="2300"/>
    <x v="4"/>
    <s v="Cash"/>
    <n v="6900"/>
  </r>
  <r>
    <s v="ORD-1063"/>
    <d v="2025-03-13T00:00:00"/>
    <s v="Neha Boutique"/>
    <s v="Kolkata"/>
    <x v="7"/>
    <x v="0"/>
    <n v="10"/>
    <n v="2300"/>
    <x v="2"/>
    <s v="Cash"/>
    <n v="23000"/>
  </r>
  <r>
    <s v="ORD-1064"/>
    <d v="2025-03-13T00:00:00"/>
    <s v="Lakshmi Agencies"/>
    <s v="Bengaluru"/>
    <x v="4"/>
    <x v="3"/>
    <n v="4"/>
    <n v="52000"/>
    <x v="0"/>
    <s v="Net Banking"/>
    <n v="208000"/>
  </r>
  <r>
    <s v="ORD-1065"/>
    <d v="2025-03-16T00:00:00"/>
    <s v="Pooja Verma"/>
    <s v="Chennai"/>
    <x v="5"/>
    <x v="3"/>
    <n v="8"/>
    <n v="9500"/>
    <x v="4"/>
    <s v="Net Banking"/>
    <n v="76000"/>
  </r>
  <r>
    <s v="ORD-1066"/>
    <d v="2025-03-17T00:00:00"/>
    <s v="Neha Boutique"/>
    <s v="Hyderabad"/>
    <x v="1"/>
    <x v="1"/>
    <n v="2"/>
    <n v="450"/>
    <x v="2"/>
    <s v="Net Banking"/>
    <n v="900"/>
  </r>
  <r>
    <s v="ORD-1067"/>
    <d v="2025-03-22T00:00:00"/>
    <s v="Meera Enterprises"/>
    <s v="Pune"/>
    <x v="5"/>
    <x v="3"/>
    <n v="4"/>
    <n v="9500"/>
    <x v="2"/>
    <s v="Credit Card"/>
    <n v="38000"/>
  </r>
  <r>
    <s v="ORD-1068"/>
    <d v="2025-03-22T00:00:00"/>
    <s v="Bharat Mart"/>
    <s v="Delhi"/>
    <x v="3"/>
    <x v="2"/>
    <n v="1"/>
    <n v="6800"/>
    <x v="4"/>
    <s v="Cash"/>
    <n v="6800"/>
  </r>
  <r>
    <s v="ORD-1069"/>
    <d v="2025-03-25T00:00:00"/>
    <s v="Pooja Verma"/>
    <s v="Chennai"/>
    <x v="6"/>
    <x v="3"/>
    <n v="11"/>
    <n v="24000"/>
    <x v="3"/>
    <s v="Credit Card"/>
    <n v="264000"/>
  </r>
  <r>
    <s v="ORD-1070"/>
    <d v="2025-03-28T00:00:00"/>
    <s v="Suresh Kumar"/>
    <s v="Chennai"/>
    <x v="7"/>
    <x v="0"/>
    <n v="4"/>
    <n v="2300"/>
    <x v="4"/>
    <s v="Upi"/>
    <n v="9200"/>
  </r>
  <r>
    <s v="ORD-1071"/>
    <d v="2025-03-29T00:00:00"/>
    <s v="Farhan Ali"/>
    <s v="Mumbai"/>
    <x v="6"/>
    <x v="3"/>
    <n v="3"/>
    <n v="24000"/>
    <x v="3"/>
    <s v="Cash"/>
    <n v="72000"/>
  </r>
  <r>
    <s v="ORD-1072"/>
    <d v="2025-03-30T00:00:00"/>
    <s v="Harsh Patel"/>
    <s v="Mumbai"/>
    <x v="4"/>
    <x v="3"/>
    <n v="2"/>
    <n v="52000"/>
    <x v="5"/>
    <s v="Credit Card"/>
    <n v="104000"/>
  </r>
  <r>
    <s v="ORD-1073"/>
    <d v="2025-04-01T00:00:00"/>
    <s v="Divya Menon"/>
    <s v="Kolkata"/>
    <x v="1"/>
    <x v="1"/>
    <n v="10"/>
    <n v="450"/>
    <x v="2"/>
    <s v="Cash"/>
    <n v="4500"/>
  </r>
  <r>
    <s v="ORD-1074"/>
    <d v="2025-04-02T00:00:00"/>
    <s v="Harsh Patel"/>
    <s v="Chennai"/>
    <x v="9"/>
    <x v="0"/>
    <n v="3"/>
    <n v="2300"/>
    <x v="0"/>
    <s v="Cash"/>
    <n v="6900"/>
  </r>
  <r>
    <s v="ORD-1075"/>
    <d v="2025-04-03T00:00:00"/>
    <s v="Tara Tech"/>
    <s v="Pune"/>
    <x v="2"/>
    <x v="2"/>
    <n v="11"/>
    <n v="1200"/>
    <x v="2"/>
    <s v="Net Banking"/>
    <n v="13200"/>
  </r>
  <r>
    <s v="ORD-1076"/>
    <d v="2025-04-03T00:00:00"/>
    <s v="Tara Tech"/>
    <s v="Bangalore"/>
    <x v="1"/>
    <x v="1"/>
    <n v="8"/>
    <n v="450"/>
    <x v="1"/>
    <s v="Debit Card"/>
    <n v="3600"/>
  </r>
  <r>
    <s v="ORD-1077"/>
    <d v="2025-04-04T00:00:00"/>
    <s v="Om Supplies"/>
    <s v="Bengaluru"/>
    <x v="3"/>
    <x v="2"/>
    <n v="6"/>
    <n v="6800"/>
    <x v="3"/>
    <s v="Upi"/>
    <n v="40800"/>
  </r>
  <r>
    <s v="ORD-1078"/>
    <d v="2025-04-05T00:00:00"/>
    <s v="Bharat Mart"/>
    <s v="Mumbai"/>
    <x v="0"/>
    <x v="0"/>
    <n v="7"/>
    <n v="750"/>
    <x v="4"/>
    <s v="Credit Card"/>
    <n v="5250"/>
  </r>
  <r>
    <s v="ORD-1079"/>
    <d v="2025-04-07T00:00:00"/>
    <s v="Farhan Ali"/>
    <s v="Chennai"/>
    <x v="6"/>
    <x v="3"/>
    <n v="6"/>
    <n v="24000"/>
    <x v="3"/>
    <s v="Cash"/>
    <n v="144000"/>
  </r>
  <r>
    <s v="ORD-1080"/>
    <d v="2025-04-08T00:00:00"/>
    <s v="Kiran Stores"/>
    <s v="Mumbai"/>
    <x v="7"/>
    <x v="0"/>
    <n v="7"/>
    <n v="2300"/>
    <x v="0"/>
    <s v="Net Banking"/>
    <n v="16100"/>
  </r>
  <r>
    <s v="ORD-1081"/>
    <d v="2025-04-08T00:00:00"/>
    <s v="Isha Kapoor"/>
    <s v="Chennai"/>
    <x v="4"/>
    <x v="3"/>
    <n v="8"/>
    <n v="52000"/>
    <x v="1"/>
    <s v="Debit Card"/>
    <n v="416000"/>
  </r>
  <r>
    <s v="ORD-1082"/>
    <d v="2025-04-08T00:00:00"/>
    <s v="Anita Desai"/>
    <s v="Pune"/>
    <x v="2"/>
    <x v="2"/>
    <n v="7"/>
    <n v="1200"/>
    <x v="3"/>
    <s v="Net Banking"/>
    <n v="8400"/>
  </r>
  <r>
    <s v="ORD-1083"/>
    <d v="2025-04-12T00:00:00"/>
    <s v="Suresh Kumar"/>
    <s v="Mumbai"/>
    <x v="3"/>
    <x v="2"/>
    <n v="5"/>
    <n v="6800"/>
    <x v="0"/>
    <s v="Cash"/>
    <n v="34000"/>
  </r>
  <r>
    <s v="ORD-1084"/>
    <d v="2025-04-13T00:00:00"/>
    <s v="Anita Desai"/>
    <s v="Bengaluru"/>
    <x v="4"/>
    <x v="3"/>
    <n v="11"/>
    <n v="52000"/>
    <x v="0"/>
    <s v="Credit Card"/>
    <n v="572000"/>
  </r>
  <r>
    <s v="ORD-1085"/>
    <d v="2025-04-13T00:00:00"/>
    <s v="Bharat Mart"/>
    <s v="Kolkata"/>
    <x v="1"/>
    <x v="1"/>
    <n v="9"/>
    <n v="450"/>
    <x v="1"/>
    <s v="Cash"/>
    <n v="4050"/>
  </r>
  <r>
    <s v="ORD-1086"/>
    <d v="2025-04-18T00:00:00"/>
    <s v="Meera Enterprises"/>
    <s v="Hyderabad"/>
    <x v="4"/>
    <x v="3"/>
    <n v="7"/>
    <n v="52000"/>
    <x v="4"/>
    <s v="Cash"/>
    <n v="364000"/>
  </r>
  <r>
    <s v="ORD-1087"/>
    <d v="2025-04-19T00:00:00"/>
    <s v="Kiran Stores"/>
    <s v="Bengaluru"/>
    <x v="0"/>
    <x v="0"/>
    <n v="7"/>
    <n v="750"/>
    <x v="2"/>
    <s v="Credit Card"/>
    <n v="5250"/>
  </r>
  <r>
    <s v="ORD-1088"/>
    <d v="2025-04-19T00:00:00"/>
    <s v="Delta Works"/>
    <s v="Bengaluru"/>
    <x v="1"/>
    <x v="1"/>
    <n v="7"/>
    <n v="450"/>
    <x v="2"/>
    <s v="Cash"/>
    <n v="3150"/>
  </r>
  <r>
    <s v="ORD-1089"/>
    <d v="2025-04-20T00:00:00"/>
    <s v="Meera Enterprises"/>
    <s v="Chennai"/>
    <x v="2"/>
    <x v="2"/>
    <n v="1"/>
    <n v="1200"/>
    <x v="3"/>
    <s v="Upi"/>
    <n v="1200"/>
  </r>
  <r>
    <s v="ORD-1090"/>
    <d v="2025-04-25T00:00:00"/>
    <s v="Tara Tech"/>
    <s v="Hyderabad"/>
    <x v="5"/>
    <x v="3"/>
    <n v="2"/>
    <n v="9500"/>
    <x v="1"/>
    <s v="Upi"/>
    <n v="19000"/>
  </r>
  <r>
    <s v="ORD-1091"/>
    <d v="2025-04-27T00:00:00"/>
    <s v="Sunrise Offices"/>
    <s v="Pune"/>
    <x v="3"/>
    <x v="2"/>
    <n v="1"/>
    <n v="6800"/>
    <x v="3"/>
    <s v="Credit Card"/>
    <n v="6800"/>
  </r>
  <r>
    <s v="ORD-1092"/>
    <d v="2025-04-28T00:00:00"/>
    <s v="Bharat Mart"/>
    <s v="Chennai"/>
    <x v="3"/>
    <x v="2"/>
    <n v="11"/>
    <n v="6800"/>
    <x v="1"/>
    <s v="Net Banking"/>
    <n v="74800"/>
  </r>
  <r>
    <s v="ORD-1093"/>
    <d v="2025-04-28T00:00:00"/>
    <s v="Pooja Verma"/>
    <s v="Hyderabad"/>
    <x v="3"/>
    <x v="2"/>
    <n v="5"/>
    <n v="6800"/>
    <x v="2"/>
    <s v="Credit Card"/>
    <n v="34000"/>
  </r>
  <r>
    <s v="ORD-1094"/>
    <d v="2025-04-29T00:00:00"/>
    <s v="Neha Boutique"/>
    <s v="Bengaluru"/>
    <x v="6"/>
    <x v="3"/>
    <n v="2"/>
    <n v="24000"/>
    <x v="3"/>
    <s v="Upi"/>
    <n v="48000"/>
  </r>
  <r>
    <s v="ORD-1095"/>
    <d v="2025-05-07T00:00:00"/>
    <s v="Isha Kapoor"/>
    <s v="Hyderabad"/>
    <x v="2"/>
    <x v="2"/>
    <n v="7"/>
    <n v="1200"/>
    <x v="0"/>
    <s v="Credit Card"/>
    <n v="8400"/>
  </r>
  <r>
    <s v="ORD-1096"/>
    <d v="2025-05-08T00:00:00"/>
    <s v="Isha Kapoor"/>
    <s v="Hyderabad"/>
    <x v="6"/>
    <x v="3"/>
    <n v="11"/>
    <n v="24000"/>
    <x v="4"/>
    <s v="Upi"/>
    <n v="264000"/>
  </r>
  <r>
    <s v="ORD-1097"/>
    <d v="2025-05-10T00:00:00"/>
    <s v="Jatin Arora"/>
    <s v="Pune"/>
    <x v="2"/>
    <x v="2"/>
    <n v="2"/>
    <n v="1200"/>
    <x v="3"/>
    <s v="Upi"/>
    <n v="2400"/>
  </r>
  <r>
    <s v="ORD-1098"/>
    <d v="2025-05-11T00:00:00"/>
    <s v="Harsh Patel"/>
    <s v="Chennai"/>
    <x v="5"/>
    <x v="3"/>
    <n v="11"/>
    <n v="9500"/>
    <x v="2"/>
    <s v="Upi"/>
    <n v="104500"/>
  </r>
  <r>
    <s v="ORD-1099"/>
    <d v="2025-05-17T00:00:00"/>
    <s v="Aarav Traders"/>
    <s v="Pune"/>
    <x v="5"/>
    <x v="3"/>
    <n v="7"/>
    <n v="9500"/>
    <x v="0"/>
    <s v="Upi"/>
    <n v="66500"/>
  </r>
  <r>
    <s v="ORD-1100"/>
    <d v="2025-05-18T00:00:00"/>
    <s v="Rahul Gupta"/>
    <s v="Hyderabad"/>
    <x v="7"/>
    <x v="0"/>
    <n v="8"/>
    <n v="2300"/>
    <x v="4"/>
    <s v="Cash"/>
    <n v="18400"/>
  </r>
  <r>
    <s v="ORD-1101"/>
    <d v="2025-05-18T00:00:00"/>
    <s v="Divya Menon"/>
    <s v="Hyderabad"/>
    <x v="0"/>
    <x v="0"/>
    <n v="5"/>
    <n v="750"/>
    <x v="3"/>
    <s v="Net Banking"/>
    <n v="3750"/>
  </r>
  <r>
    <s v="ORD-1102"/>
    <d v="2025-05-20T00:00:00"/>
    <s v="Pooja Verma"/>
    <s v="Chennai"/>
    <x v="1"/>
    <x v="1"/>
    <n v="12"/>
    <n v="450"/>
    <x v="3"/>
    <s v="Debit Card"/>
    <n v="5400"/>
  </r>
  <r>
    <s v="ORD-1103"/>
    <d v="2025-05-20T00:00:00"/>
    <s v="Tara Tech"/>
    <s v="Pune"/>
    <x v="5"/>
    <x v="3"/>
    <n v="2"/>
    <n v="9500"/>
    <x v="2"/>
    <s v="Cash"/>
    <n v="19000"/>
  </r>
  <r>
    <s v="ORD-1104"/>
    <d v="2025-05-22T00:00:00"/>
    <s v="Pooja Verma"/>
    <s v="Kolkata"/>
    <x v="3"/>
    <x v="2"/>
    <n v="10"/>
    <n v="6800"/>
    <x v="0"/>
    <s v="Debit Card"/>
    <n v="68000"/>
  </r>
  <r>
    <s v="ORD-1105"/>
    <d v="2025-05-23T00:00:00"/>
    <s v="Suresh Kumar"/>
    <s v="Pune"/>
    <x v="4"/>
    <x v="3"/>
    <n v="6"/>
    <n v="52000"/>
    <x v="4"/>
    <s v="Cash"/>
    <n v="312000"/>
  </r>
  <r>
    <s v="ORD-1106"/>
    <d v="2025-05-24T00:00:00"/>
    <s v="Rahul Gupta"/>
    <s v="Pune"/>
    <x v="3"/>
    <x v="2"/>
    <n v="5"/>
    <n v="6800"/>
    <x v="2"/>
    <s v="Debit Card"/>
    <n v="34000"/>
  </r>
  <r>
    <s v="ORD-1107"/>
    <d v="2025-05-24T00:00:00"/>
    <s v="Harsh Patel"/>
    <s v="Delhi"/>
    <x v="2"/>
    <x v="2"/>
    <n v="9"/>
    <n v="1200"/>
    <x v="4"/>
    <s v="Upi"/>
    <n v="10800"/>
  </r>
  <r>
    <s v="ORD-1108"/>
    <d v="2025-05-26T00:00:00"/>
    <s v="Farhan Ali"/>
    <s v="Chennai"/>
    <x v="3"/>
    <x v="2"/>
    <n v="9"/>
    <n v="6800"/>
    <x v="4"/>
    <s v="Cash"/>
    <n v="61200"/>
  </r>
  <r>
    <s v="ORD-1109"/>
    <d v="2025-05-28T00:00:00"/>
    <s v="Pooja Verma"/>
    <s v="Pune"/>
    <x v="1"/>
    <x v="1"/>
    <n v="1"/>
    <n v="450"/>
    <x v="1"/>
    <s v="Debit Card"/>
    <n v="450"/>
  </r>
  <r>
    <s v="ORD-1110"/>
    <d v="2025-05-30T00:00:00"/>
    <s v="Anita Desai"/>
    <s v="Hyderabad"/>
    <x v="3"/>
    <x v="2"/>
    <n v="4"/>
    <n v="6800"/>
    <x v="2"/>
    <s v="Net Banking"/>
    <n v="27200"/>
  </r>
  <r>
    <s v="ORD-1111"/>
    <d v="2025-05-30T00:00:00"/>
    <s v="Suresh Kumar"/>
    <s v="Kolkata"/>
    <x v="5"/>
    <x v="3"/>
    <n v="9"/>
    <n v="9500"/>
    <x v="2"/>
    <s v="Cash"/>
    <n v="85500"/>
  </r>
  <r>
    <s v="ORD-1112"/>
    <d v="2025-05-31T00:00:00"/>
    <s v="Rahul Gupta"/>
    <s v="Hyderabad"/>
    <x v="5"/>
    <x v="3"/>
    <n v="8"/>
    <n v="9500"/>
    <x v="2"/>
    <s v="Debit Card"/>
    <n v="76000"/>
  </r>
  <r>
    <s v="ORD-1113"/>
    <d v="2025-06-01T00:00:00"/>
    <s v="Tara Tech"/>
    <s v="Delhi"/>
    <x v="2"/>
    <x v="2"/>
    <n v="12"/>
    <n v="1200"/>
    <x v="4"/>
    <s v="Debit Card"/>
    <n v="14400"/>
  </r>
  <r>
    <s v="ORD-1114"/>
    <d v="2025-06-04T00:00:00"/>
    <s v="Harsh Patel"/>
    <s v="Pune"/>
    <x v="6"/>
    <x v="3"/>
    <n v="12"/>
    <n v="24000"/>
    <x v="4"/>
    <s v="Credit Card"/>
    <n v="288000"/>
  </r>
  <r>
    <s v="ORD-1115"/>
    <d v="2025-06-04T00:00:00"/>
    <s v="Suresh Kumar"/>
    <s v="Bengaluru"/>
    <x v="3"/>
    <x v="2"/>
    <n v="12"/>
    <n v="6800"/>
    <x v="3"/>
    <s v="Net Banking"/>
    <n v="81600"/>
  </r>
  <r>
    <s v="ORD-1116"/>
    <d v="2025-06-05T00:00:00"/>
    <s v="Zoya Retail"/>
    <s v="Pune"/>
    <x v="2"/>
    <x v="2"/>
    <n v="4"/>
    <n v="1200"/>
    <x v="2"/>
    <s v="Credit Card"/>
    <n v="4800"/>
  </r>
  <r>
    <s v="ORD-1117"/>
    <d v="2025-06-08T00:00:00"/>
    <s v="Neha Boutique"/>
    <s v="Bengaluru"/>
    <x v="5"/>
    <x v="3"/>
    <n v="1"/>
    <n v="9500"/>
    <x v="3"/>
    <s v="Credit Card"/>
    <n v="9500"/>
  </r>
  <r>
    <s v="ORD-1118"/>
    <d v="2025-06-10T00:00:00"/>
    <s v="Kiran Stores"/>
    <s v="Delhi"/>
    <x v="2"/>
    <x v="2"/>
    <n v="9"/>
    <n v="1200"/>
    <x v="2"/>
    <s v="Credit Card"/>
    <n v="10800"/>
  </r>
  <r>
    <s v="ORD-1119"/>
    <d v="2025-06-10T00:00:00"/>
    <s v="Zoya Retail"/>
    <s v="Pune"/>
    <x v="1"/>
    <x v="1"/>
    <n v="1"/>
    <n v="450"/>
    <x v="3"/>
    <s v="Debit Card"/>
    <n v="450"/>
  </r>
  <r>
    <s v="ORD-1120"/>
    <d v="2025-06-12T00:00:00"/>
    <s v="Suresh Kumar"/>
    <s v="Chennai"/>
    <x v="1"/>
    <x v="1"/>
    <n v="6"/>
    <n v="450"/>
    <x v="4"/>
    <s v="Upi"/>
    <n v="2700"/>
  </r>
  <r>
    <s v="ORD-1121"/>
    <d v="2025-06-12T00:00:00"/>
    <s v="Suresh Kumar"/>
    <s v="Delhi"/>
    <x v="2"/>
    <x v="2"/>
    <n v="2"/>
    <n v="1200"/>
    <x v="0"/>
    <s v="Cash"/>
    <n v="2400"/>
  </r>
  <r>
    <s v="ORD-1122"/>
    <d v="2025-06-13T00:00:00"/>
    <s v="Isha Kapoor"/>
    <s v="Hyderabad"/>
    <x v="6"/>
    <x v="3"/>
    <n v="11"/>
    <n v="24000"/>
    <x v="1"/>
    <s v="Credit Card"/>
    <n v="264000"/>
  </r>
  <r>
    <s v="ORD-1123"/>
    <d v="2025-06-13T00:00:00"/>
    <s v="Isha Kapoor"/>
    <s v="Bengaluru"/>
    <x v="0"/>
    <x v="0"/>
    <n v="2"/>
    <n v="750"/>
    <x v="4"/>
    <s v="Upi"/>
    <n v="1500"/>
  </r>
  <r>
    <s v="ORD-1124"/>
    <d v="2025-06-14T00:00:00"/>
    <s v="Jatin Arora"/>
    <s v="Kolkata"/>
    <x v="7"/>
    <x v="0"/>
    <n v="10"/>
    <n v="2300"/>
    <x v="4"/>
    <s v="Net Banking"/>
    <n v="23000"/>
  </r>
  <r>
    <s v="ORD-1125"/>
    <d v="2025-06-15T00:00:00"/>
    <s v="Pooja Verma"/>
    <s v="Chennai"/>
    <x v="7"/>
    <x v="0"/>
    <n v="5"/>
    <n v="2300"/>
    <x v="3"/>
    <s v="Cash"/>
    <n v="11500"/>
  </r>
  <r>
    <s v="ORD-1126"/>
    <d v="2025-06-16T00:00:00"/>
    <s v="Isha Kapoor"/>
    <s v="Kolkata"/>
    <x v="2"/>
    <x v="2"/>
    <n v="1"/>
    <n v="1200"/>
    <x v="3"/>
    <s v="Upi"/>
    <n v="1200"/>
  </r>
  <r>
    <s v="ORD-1127"/>
    <d v="2025-06-17T00:00:00"/>
    <s v="Sunrise Offices"/>
    <s v="Bengaluru"/>
    <x v="3"/>
    <x v="2"/>
    <n v="11"/>
    <n v="6800"/>
    <x v="1"/>
    <s v="Credit Card"/>
    <n v="74800"/>
  </r>
  <r>
    <s v="ORD-1128"/>
    <d v="2025-06-19T00:00:00"/>
    <s v="Neha Boutique"/>
    <s v="Kolkata"/>
    <x v="3"/>
    <x v="2"/>
    <n v="2"/>
    <n v="6800"/>
    <x v="4"/>
    <s v="Upi"/>
    <n v="13600"/>
  </r>
  <r>
    <s v="ORD-1129"/>
    <d v="2025-06-21T00:00:00"/>
    <s v="Pooja Verma"/>
    <s v="Hyderabad"/>
    <x v="7"/>
    <x v="0"/>
    <n v="10"/>
    <n v="2300"/>
    <x v="0"/>
    <s v="Debit Card"/>
    <n v="23000"/>
  </r>
  <r>
    <s v="ORD-1130"/>
    <d v="2025-06-23T00:00:00"/>
    <s v="Tara Tech"/>
    <s v="Bengaluru"/>
    <x v="4"/>
    <x v="3"/>
    <n v="12"/>
    <n v="52000"/>
    <x v="2"/>
    <s v="Cash"/>
    <n v="624000"/>
  </r>
  <r>
    <s v="ORD-1131"/>
    <d v="2025-06-24T00:00:00"/>
    <s v="Tara Tech"/>
    <s v="Bengaluru"/>
    <x v="6"/>
    <x v="3"/>
    <n v="11"/>
    <n v="24000"/>
    <x v="3"/>
    <s v="Credit Card"/>
    <n v="264000"/>
  </r>
  <r>
    <s v="ORD-1132"/>
    <d v="2025-06-25T00:00:00"/>
    <s v="Zoya Retail"/>
    <s v="Kolkata"/>
    <x v="7"/>
    <x v="0"/>
    <n v="4"/>
    <n v="2300"/>
    <x v="4"/>
    <s v="Debit Card"/>
    <n v="9200"/>
  </r>
  <r>
    <s v="ORD-1133"/>
    <d v="2025-06-26T00:00:00"/>
    <s v="Meera Enterprises"/>
    <s v="Delhi"/>
    <x v="0"/>
    <x v="0"/>
    <n v="3"/>
    <n v="750"/>
    <x v="2"/>
    <s v="Net Banking"/>
    <n v="2250"/>
  </r>
  <r>
    <s v="ORD-1134"/>
    <d v="2025-06-28T00:00:00"/>
    <s v="Pooja Verma"/>
    <s v="Delhi"/>
    <x v="2"/>
    <x v="2"/>
    <n v="8"/>
    <n v="1200"/>
    <x v="2"/>
    <s v="Cash"/>
    <n v="9600"/>
  </r>
  <r>
    <s v="ORD-1135"/>
    <d v="2025-06-29T00:00:00"/>
    <s v="Divya Menon"/>
    <s v="Kolkata"/>
    <x v="2"/>
    <x v="2"/>
    <n v="8"/>
    <n v="1200"/>
    <x v="0"/>
    <s v="Upi"/>
    <n v="9600"/>
  </r>
  <r>
    <s v="ORD-1136"/>
    <d v="2025-06-29T00:00:00"/>
    <s v="Farhan Ali"/>
    <s v="Hyderabad"/>
    <x v="4"/>
    <x v="3"/>
    <n v="6"/>
    <n v="52000"/>
    <x v="3"/>
    <s v="Debit Card"/>
    <n v="312000"/>
  </r>
  <r>
    <s v="ORD-1137"/>
    <d v="2025-06-30T00:00:00"/>
    <s v="Meera Enterprises"/>
    <s v="Mumbai"/>
    <x v="4"/>
    <x v="3"/>
    <n v="11"/>
    <n v="52000"/>
    <x v="3"/>
    <s v="Net Banking"/>
    <n v="57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124A5-A4A0-4519-A6B0-17317091FDF1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I13" firstHeaderRow="0" firstDataRow="1" firstDataCol="1"/>
  <pivotFields count="11">
    <pivotField dataField="1"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axis="axisRow" showAll="0">
      <items count="7">
        <item x="1"/>
        <item x="4"/>
        <item x="2"/>
        <item x="5"/>
        <item x="0"/>
        <item x="3"/>
        <item t="default"/>
      </items>
    </pivotField>
    <pivotField showAll="0"/>
    <pivotField dataField="1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9822C-A530-49CF-9653-B64FFF5710A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E17" firstHeaderRow="1" firstDataRow="1" firstDataCol="1"/>
  <pivotFields count="11">
    <pivotField showAll="0"/>
    <pivotField showAll="0"/>
    <pivotField showAll="0"/>
    <pivotField showAll="0"/>
    <pivotField axis="axisRow" showAll="0">
      <items count="11">
        <item x="2"/>
        <item x="9"/>
        <item x="7"/>
        <item x="4"/>
        <item x="1"/>
        <item x="3"/>
        <item x="5"/>
        <item x="6"/>
        <item x="8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EC005-3EF8-44BF-9EC0-2299D0591FB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67B2-420A-4D5A-B175-1805D057A344}">
  <dimension ref="A1:K138"/>
  <sheetViews>
    <sheetView topLeftCell="A129" workbookViewId="0"/>
  </sheetViews>
  <sheetFormatPr defaultRowHeight="14.5" x14ac:dyDescent="0.35"/>
  <cols>
    <col min="1" max="1" width="10.36328125" bestFit="1" customWidth="1"/>
    <col min="2" max="2" width="12.453125" bestFit="1" customWidth="1"/>
    <col min="3" max="3" width="15.54296875" bestFit="1" customWidth="1"/>
    <col min="4" max="4" width="9.54296875" bestFit="1" customWidth="1"/>
    <col min="5" max="5" width="14" bestFit="1" customWidth="1"/>
    <col min="6" max="6" width="10.7265625" bestFit="1" customWidth="1"/>
    <col min="7" max="7" width="10.26953125" bestFit="1" customWidth="1"/>
    <col min="8" max="8" width="11.7265625" bestFit="1" customWidth="1"/>
    <col min="9" max="9" width="13.36328125" bestFit="1" customWidth="1"/>
    <col min="10" max="10" width="15.90625" bestFit="1" customWidth="1"/>
    <col min="11" max="11" width="7.6328125" bestFit="1" customWidth="1"/>
  </cols>
  <sheetData>
    <row r="1" spans="1:11" x14ac:dyDescent="0.35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4" t="s">
        <v>200</v>
      </c>
    </row>
    <row r="2" spans="1:11" x14ac:dyDescent="0.35">
      <c r="A2" s="35" t="s">
        <v>10</v>
      </c>
      <c r="B2" s="36">
        <v>45659</v>
      </c>
      <c r="C2" s="37" t="s">
        <v>11</v>
      </c>
      <c r="D2" s="37" t="s">
        <v>12</v>
      </c>
      <c r="E2" s="37" t="s">
        <v>13</v>
      </c>
      <c r="F2" s="37" t="s">
        <v>14</v>
      </c>
      <c r="G2" s="38">
        <v>2</v>
      </c>
      <c r="H2" s="38">
        <v>750</v>
      </c>
      <c r="I2" s="37" t="s">
        <v>15</v>
      </c>
      <c r="J2" s="37" t="s">
        <v>16</v>
      </c>
      <c r="K2" s="39">
        <v>1500</v>
      </c>
    </row>
    <row r="3" spans="1:11" x14ac:dyDescent="0.35">
      <c r="A3" s="40" t="s">
        <v>17</v>
      </c>
      <c r="B3" s="41">
        <v>45664</v>
      </c>
      <c r="C3" s="42" t="s">
        <v>18</v>
      </c>
      <c r="D3" s="42" t="s">
        <v>19</v>
      </c>
      <c r="E3" s="42" t="s">
        <v>20</v>
      </c>
      <c r="F3" s="42" t="s">
        <v>21</v>
      </c>
      <c r="G3" s="43">
        <v>9</v>
      </c>
      <c r="H3" s="43">
        <v>450</v>
      </c>
      <c r="I3" s="42" t="s">
        <v>22</v>
      </c>
      <c r="J3" s="42" t="s">
        <v>210</v>
      </c>
      <c r="K3" s="44">
        <v>4050</v>
      </c>
    </row>
    <row r="4" spans="1:11" x14ac:dyDescent="0.35">
      <c r="A4" s="35" t="s">
        <v>23</v>
      </c>
      <c r="B4" s="36">
        <v>45664</v>
      </c>
      <c r="C4" s="37" t="s">
        <v>24</v>
      </c>
      <c r="D4" s="37" t="s">
        <v>34</v>
      </c>
      <c r="E4" s="37" t="s">
        <v>25</v>
      </c>
      <c r="F4" s="37" t="s">
        <v>26</v>
      </c>
      <c r="G4" s="38">
        <v>5</v>
      </c>
      <c r="H4" s="38">
        <v>1200</v>
      </c>
      <c r="I4" s="37" t="s">
        <v>15</v>
      </c>
      <c r="J4" s="37" t="s">
        <v>27</v>
      </c>
      <c r="K4" s="39">
        <v>6000</v>
      </c>
    </row>
    <row r="5" spans="1:11" x14ac:dyDescent="0.35">
      <c r="A5" s="40" t="s">
        <v>28</v>
      </c>
      <c r="B5" s="41">
        <v>45665</v>
      </c>
      <c r="C5" s="42" t="s">
        <v>29</v>
      </c>
      <c r="D5" s="42" t="s">
        <v>30</v>
      </c>
      <c r="E5" s="42" t="s">
        <v>20</v>
      </c>
      <c r="F5" s="42" t="s">
        <v>21</v>
      </c>
      <c r="G5" s="43">
        <v>12</v>
      </c>
      <c r="H5" s="43">
        <v>450</v>
      </c>
      <c r="I5" s="42" t="s">
        <v>31</v>
      </c>
      <c r="J5" s="42" t="s">
        <v>32</v>
      </c>
      <c r="K5" s="44">
        <v>5400</v>
      </c>
    </row>
    <row r="6" spans="1:11" x14ac:dyDescent="0.35">
      <c r="A6" s="35" t="s">
        <v>33</v>
      </c>
      <c r="B6" s="36">
        <v>45666</v>
      </c>
      <c r="C6" s="37" t="s">
        <v>18</v>
      </c>
      <c r="D6" s="37" t="s">
        <v>34</v>
      </c>
      <c r="E6" s="37" t="s">
        <v>13</v>
      </c>
      <c r="F6" s="37" t="s">
        <v>14</v>
      </c>
      <c r="G6" s="38">
        <v>11</v>
      </c>
      <c r="H6" s="38">
        <v>750</v>
      </c>
      <c r="I6" s="37" t="s">
        <v>31</v>
      </c>
      <c r="J6" s="37" t="s">
        <v>32</v>
      </c>
      <c r="K6" s="39">
        <v>8250</v>
      </c>
    </row>
    <row r="7" spans="1:11" x14ac:dyDescent="0.35">
      <c r="A7" s="40" t="s">
        <v>35</v>
      </c>
      <c r="B7" s="41">
        <v>45666</v>
      </c>
      <c r="C7" s="42" t="s">
        <v>36</v>
      </c>
      <c r="D7" s="42" t="s">
        <v>19</v>
      </c>
      <c r="E7" s="42" t="s">
        <v>37</v>
      </c>
      <c r="F7" s="42" t="s">
        <v>26</v>
      </c>
      <c r="G7" s="43">
        <v>3</v>
      </c>
      <c r="H7" s="43">
        <v>6800</v>
      </c>
      <c r="I7" s="42" t="s">
        <v>38</v>
      </c>
      <c r="J7" s="42" t="s">
        <v>32</v>
      </c>
      <c r="K7" s="44">
        <v>20400</v>
      </c>
    </row>
    <row r="8" spans="1:11" x14ac:dyDescent="0.35">
      <c r="A8" s="35" t="s">
        <v>39</v>
      </c>
      <c r="B8" s="36">
        <v>45669</v>
      </c>
      <c r="C8" s="37" t="s">
        <v>40</v>
      </c>
      <c r="D8" s="37" t="s">
        <v>19</v>
      </c>
      <c r="E8" s="37" t="s">
        <v>41</v>
      </c>
      <c r="F8" s="37" t="s">
        <v>42</v>
      </c>
      <c r="G8" s="38">
        <v>8</v>
      </c>
      <c r="H8" s="38">
        <v>52000</v>
      </c>
      <c r="I8" s="37" t="s">
        <v>22</v>
      </c>
      <c r="J8" s="37" t="s">
        <v>210</v>
      </c>
      <c r="K8" s="39">
        <v>416000</v>
      </c>
    </row>
    <row r="9" spans="1:11" x14ac:dyDescent="0.35">
      <c r="A9" s="40" t="s">
        <v>43</v>
      </c>
      <c r="B9" s="41">
        <v>45669</v>
      </c>
      <c r="C9" s="42" t="s">
        <v>44</v>
      </c>
      <c r="D9" s="42" t="s">
        <v>45</v>
      </c>
      <c r="E9" s="42" t="s">
        <v>46</v>
      </c>
      <c r="F9" s="42" t="s">
        <v>42</v>
      </c>
      <c r="G9" s="43">
        <v>1</v>
      </c>
      <c r="H9" s="43">
        <v>9500</v>
      </c>
      <c r="I9" s="42" t="s">
        <v>47</v>
      </c>
      <c r="J9" s="42" t="s">
        <v>32</v>
      </c>
      <c r="K9" s="44">
        <v>9500</v>
      </c>
    </row>
    <row r="10" spans="1:11" x14ac:dyDescent="0.35">
      <c r="A10" s="35" t="s">
        <v>48</v>
      </c>
      <c r="B10" s="36">
        <v>45670</v>
      </c>
      <c r="C10" s="37" t="s">
        <v>49</v>
      </c>
      <c r="D10" s="37" t="s">
        <v>30</v>
      </c>
      <c r="E10" s="37" t="s">
        <v>50</v>
      </c>
      <c r="F10" s="37" t="s">
        <v>42</v>
      </c>
      <c r="G10" s="38">
        <v>8</v>
      </c>
      <c r="H10" s="38">
        <v>24000</v>
      </c>
      <c r="I10" s="37" t="s">
        <v>22</v>
      </c>
      <c r="J10" s="37" t="s">
        <v>32</v>
      </c>
      <c r="K10" s="39">
        <v>192000</v>
      </c>
    </row>
    <row r="11" spans="1:11" x14ac:dyDescent="0.35">
      <c r="A11" s="40" t="s">
        <v>51</v>
      </c>
      <c r="B11" s="41">
        <v>45672</v>
      </c>
      <c r="C11" s="42" t="s">
        <v>36</v>
      </c>
      <c r="D11" s="42" t="s">
        <v>30</v>
      </c>
      <c r="E11" s="42" t="s">
        <v>13</v>
      </c>
      <c r="F11" s="42" t="s">
        <v>14</v>
      </c>
      <c r="G11" s="43">
        <v>8</v>
      </c>
      <c r="H11" s="43">
        <v>750</v>
      </c>
      <c r="I11" s="42" t="s">
        <v>38</v>
      </c>
      <c r="J11" s="42" t="s">
        <v>27</v>
      </c>
      <c r="K11" s="44">
        <v>6000</v>
      </c>
    </row>
    <row r="12" spans="1:11" x14ac:dyDescent="0.35">
      <c r="A12" s="35" t="s">
        <v>52</v>
      </c>
      <c r="B12" s="36">
        <v>45674</v>
      </c>
      <c r="C12" s="37" t="s">
        <v>18</v>
      </c>
      <c r="D12" s="37" t="s">
        <v>53</v>
      </c>
      <c r="E12" s="37" t="s">
        <v>25</v>
      </c>
      <c r="F12" s="37" t="s">
        <v>26</v>
      </c>
      <c r="G12" s="38">
        <v>10</v>
      </c>
      <c r="H12" s="38">
        <v>1200</v>
      </c>
      <c r="I12" s="37" t="s">
        <v>15</v>
      </c>
      <c r="J12" s="37" t="s">
        <v>27</v>
      </c>
      <c r="K12" s="39">
        <v>12000</v>
      </c>
    </row>
    <row r="13" spans="1:11" x14ac:dyDescent="0.35">
      <c r="A13" s="40" t="s">
        <v>54</v>
      </c>
      <c r="B13" s="41">
        <v>45675</v>
      </c>
      <c r="C13" s="42" t="s">
        <v>44</v>
      </c>
      <c r="D13" s="42" t="s">
        <v>55</v>
      </c>
      <c r="E13" s="42" t="s">
        <v>37</v>
      </c>
      <c r="F13" s="42" t="s">
        <v>26</v>
      </c>
      <c r="G13" s="43">
        <v>11</v>
      </c>
      <c r="H13" s="43">
        <v>6800</v>
      </c>
      <c r="I13" s="42" t="s">
        <v>31</v>
      </c>
      <c r="J13" s="42" t="s">
        <v>16</v>
      </c>
      <c r="K13" s="44">
        <v>74800</v>
      </c>
    </row>
    <row r="14" spans="1:11" x14ac:dyDescent="0.35">
      <c r="A14" s="35" t="s">
        <v>56</v>
      </c>
      <c r="B14" s="36">
        <v>45676</v>
      </c>
      <c r="C14" s="37" t="s">
        <v>57</v>
      </c>
      <c r="D14" s="37" t="s">
        <v>45</v>
      </c>
      <c r="E14" s="37" t="s">
        <v>20</v>
      </c>
      <c r="F14" s="37" t="s">
        <v>21</v>
      </c>
      <c r="G14" s="38">
        <v>4</v>
      </c>
      <c r="H14" s="38">
        <v>450</v>
      </c>
      <c r="I14" s="37" t="s">
        <v>22</v>
      </c>
      <c r="J14" s="37" t="s">
        <v>58</v>
      </c>
      <c r="K14" s="39">
        <v>1800</v>
      </c>
    </row>
    <row r="15" spans="1:11" x14ac:dyDescent="0.35">
      <c r="A15" s="40" t="s">
        <v>59</v>
      </c>
      <c r="B15" s="41">
        <v>45678</v>
      </c>
      <c r="C15" s="42" t="s">
        <v>60</v>
      </c>
      <c r="D15" s="42" t="s">
        <v>12</v>
      </c>
      <c r="E15" s="42" t="s">
        <v>41</v>
      </c>
      <c r="F15" s="42" t="s">
        <v>42</v>
      </c>
      <c r="G15" s="43">
        <v>4</v>
      </c>
      <c r="H15" s="43">
        <v>52000</v>
      </c>
      <c r="I15" s="42" t="s">
        <v>38</v>
      </c>
      <c r="J15" s="42" t="s">
        <v>27</v>
      </c>
      <c r="K15" s="44">
        <v>208000</v>
      </c>
    </row>
    <row r="16" spans="1:11" x14ac:dyDescent="0.35">
      <c r="A16" s="35" t="s">
        <v>61</v>
      </c>
      <c r="B16" s="36">
        <v>45678</v>
      </c>
      <c r="C16" s="37" t="s">
        <v>49</v>
      </c>
      <c r="D16" s="37" t="s">
        <v>30</v>
      </c>
      <c r="E16" s="37" t="s">
        <v>41</v>
      </c>
      <c r="F16" s="37" t="s">
        <v>42</v>
      </c>
      <c r="G16" s="38">
        <v>11</v>
      </c>
      <c r="H16" s="38">
        <v>52000</v>
      </c>
      <c r="I16" s="37" t="s">
        <v>22</v>
      </c>
      <c r="J16" s="37" t="s">
        <v>27</v>
      </c>
      <c r="K16" s="39">
        <v>572000</v>
      </c>
    </row>
    <row r="17" spans="1:11" x14ac:dyDescent="0.35">
      <c r="A17" s="40" t="s">
        <v>62</v>
      </c>
      <c r="B17" s="41">
        <v>45680</v>
      </c>
      <c r="C17" s="42" t="s">
        <v>63</v>
      </c>
      <c r="D17" s="42" t="s">
        <v>53</v>
      </c>
      <c r="E17" s="42" t="s">
        <v>50</v>
      </c>
      <c r="F17" s="42" t="s">
        <v>42</v>
      </c>
      <c r="G17" s="43">
        <v>6</v>
      </c>
      <c r="H17" s="43">
        <v>24000</v>
      </c>
      <c r="I17" s="42" t="s">
        <v>22</v>
      </c>
      <c r="J17" s="42" t="s">
        <v>32</v>
      </c>
      <c r="K17" s="44">
        <v>144000</v>
      </c>
    </row>
    <row r="18" spans="1:11" x14ac:dyDescent="0.35">
      <c r="A18" s="35" t="s">
        <v>64</v>
      </c>
      <c r="B18" s="36">
        <v>45681</v>
      </c>
      <c r="C18" s="37" t="s">
        <v>65</v>
      </c>
      <c r="D18" s="37" t="s">
        <v>30</v>
      </c>
      <c r="E18" s="37" t="s">
        <v>37</v>
      </c>
      <c r="F18" s="37" t="s">
        <v>26</v>
      </c>
      <c r="G18" s="38">
        <v>8</v>
      </c>
      <c r="H18" s="38">
        <v>6800</v>
      </c>
      <c r="I18" s="37" t="s">
        <v>47</v>
      </c>
      <c r="J18" s="37" t="s">
        <v>32</v>
      </c>
      <c r="K18" s="39">
        <v>54400</v>
      </c>
    </row>
    <row r="19" spans="1:11" x14ac:dyDescent="0.35">
      <c r="A19" s="40" t="s">
        <v>66</v>
      </c>
      <c r="B19" s="41">
        <v>45681</v>
      </c>
      <c r="C19" s="42" t="s">
        <v>60</v>
      </c>
      <c r="D19" s="42" t="s">
        <v>12</v>
      </c>
      <c r="E19" s="42" t="s">
        <v>13</v>
      </c>
      <c r="F19" s="42" t="s">
        <v>14</v>
      </c>
      <c r="G19" s="43">
        <v>8</v>
      </c>
      <c r="H19" s="43">
        <v>750</v>
      </c>
      <c r="I19" s="42" t="s">
        <v>47</v>
      </c>
      <c r="J19" s="42" t="s">
        <v>16</v>
      </c>
      <c r="K19" s="44">
        <v>6000</v>
      </c>
    </row>
    <row r="20" spans="1:11" x14ac:dyDescent="0.35">
      <c r="A20" s="35" t="s">
        <v>67</v>
      </c>
      <c r="B20" s="36">
        <v>45681</v>
      </c>
      <c r="C20" s="37" t="s">
        <v>68</v>
      </c>
      <c r="D20" s="37" t="s">
        <v>34</v>
      </c>
      <c r="E20" s="37" t="s">
        <v>69</v>
      </c>
      <c r="F20" s="37" t="s">
        <v>14</v>
      </c>
      <c r="G20" s="38">
        <v>2</v>
      </c>
      <c r="H20" s="38">
        <v>2300</v>
      </c>
      <c r="I20" s="37" t="s">
        <v>15</v>
      </c>
      <c r="J20" s="37" t="s">
        <v>58</v>
      </c>
      <c r="K20" s="39">
        <v>4600</v>
      </c>
    </row>
    <row r="21" spans="1:11" x14ac:dyDescent="0.35">
      <c r="A21" s="40" t="s">
        <v>70</v>
      </c>
      <c r="B21" s="41">
        <v>45682</v>
      </c>
      <c r="C21" s="42" t="s">
        <v>11</v>
      </c>
      <c r="D21" s="42" t="s">
        <v>55</v>
      </c>
      <c r="E21" s="42" t="s">
        <v>69</v>
      </c>
      <c r="F21" s="42" t="s">
        <v>14</v>
      </c>
      <c r="G21" s="43">
        <v>12</v>
      </c>
      <c r="H21" s="43">
        <v>2300</v>
      </c>
      <c r="I21" s="42" t="s">
        <v>22</v>
      </c>
      <c r="J21" s="42" t="s">
        <v>210</v>
      </c>
      <c r="K21" s="44">
        <v>27600</v>
      </c>
    </row>
    <row r="22" spans="1:11" x14ac:dyDescent="0.35">
      <c r="A22" s="35" t="s">
        <v>71</v>
      </c>
      <c r="B22" s="36">
        <v>45683</v>
      </c>
      <c r="C22" s="37" t="s">
        <v>72</v>
      </c>
      <c r="D22" s="37" t="s">
        <v>30</v>
      </c>
      <c r="E22" s="37" t="s">
        <v>41</v>
      </c>
      <c r="F22" s="37" t="s">
        <v>42</v>
      </c>
      <c r="G22" s="38">
        <v>6</v>
      </c>
      <c r="H22" s="38">
        <v>52000</v>
      </c>
      <c r="I22" s="37" t="s">
        <v>22</v>
      </c>
      <c r="J22" s="37" t="s">
        <v>27</v>
      </c>
      <c r="K22" s="39">
        <v>312000</v>
      </c>
    </row>
    <row r="23" spans="1:11" x14ac:dyDescent="0.35">
      <c r="A23" s="40" t="s">
        <v>73</v>
      </c>
      <c r="B23" s="41">
        <v>45684</v>
      </c>
      <c r="C23" s="42" t="s">
        <v>68</v>
      </c>
      <c r="D23" s="42" t="s">
        <v>12</v>
      </c>
      <c r="E23" s="42" t="s">
        <v>37</v>
      </c>
      <c r="F23" s="42" t="s">
        <v>26</v>
      </c>
      <c r="G23" s="43">
        <v>8</v>
      </c>
      <c r="H23" s="43">
        <v>6800</v>
      </c>
      <c r="I23" s="42" t="s">
        <v>47</v>
      </c>
      <c r="J23" s="42" t="s">
        <v>16</v>
      </c>
      <c r="K23" s="44">
        <v>54400</v>
      </c>
    </row>
    <row r="24" spans="1:11" x14ac:dyDescent="0.35">
      <c r="A24" s="35" t="s">
        <v>74</v>
      </c>
      <c r="B24" s="36">
        <v>45684</v>
      </c>
      <c r="C24" s="37" t="s">
        <v>65</v>
      </c>
      <c r="D24" s="37" t="s">
        <v>55</v>
      </c>
      <c r="E24" s="37" t="s">
        <v>13</v>
      </c>
      <c r="F24" s="37" t="s">
        <v>14</v>
      </c>
      <c r="G24" s="38">
        <v>4</v>
      </c>
      <c r="H24" s="38">
        <v>750</v>
      </c>
      <c r="I24" s="37" t="s">
        <v>22</v>
      </c>
      <c r="J24" s="37" t="s">
        <v>16</v>
      </c>
      <c r="K24" s="39">
        <v>3000</v>
      </c>
    </row>
    <row r="25" spans="1:11" x14ac:dyDescent="0.35">
      <c r="A25" s="40" t="s">
        <v>75</v>
      </c>
      <c r="B25" s="41">
        <v>45686</v>
      </c>
      <c r="C25" s="42" t="s">
        <v>63</v>
      </c>
      <c r="D25" s="42" t="s">
        <v>30</v>
      </c>
      <c r="E25" s="42" t="s">
        <v>50</v>
      </c>
      <c r="F25" s="42" t="s">
        <v>42</v>
      </c>
      <c r="G25" s="43">
        <v>9</v>
      </c>
      <c r="H25" s="43">
        <v>24000</v>
      </c>
      <c r="I25" s="42" t="s">
        <v>22</v>
      </c>
      <c r="J25" s="42" t="s">
        <v>210</v>
      </c>
      <c r="K25" s="44">
        <v>216000</v>
      </c>
    </row>
    <row r="26" spans="1:11" x14ac:dyDescent="0.35">
      <c r="A26" s="35" t="s">
        <v>76</v>
      </c>
      <c r="B26" s="36">
        <v>45686</v>
      </c>
      <c r="C26" s="37" t="s">
        <v>77</v>
      </c>
      <c r="D26" s="37" t="s">
        <v>55</v>
      </c>
      <c r="E26" s="37" t="s">
        <v>37</v>
      </c>
      <c r="F26" s="37" t="s">
        <v>26</v>
      </c>
      <c r="G26" s="38">
        <v>8</v>
      </c>
      <c r="H26" s="38">
        <v>6800</v>
      </c>
      <c r="I26" s="37" t="s">
        <v>15</v>
      </c>
      <c r="J26" s="37" t="s">
        <v>27</v>
      </c>
      <c r="K26" s="39">
        <v>54400</v>
      </c>
    </row>
    <row r="27" spans="1:11" x14ac:dyDescent="0.35">
      <c r="A27" s="40" t="s">
        <v>78</v>
      </c>
      <c r="B27" s="41">
        <v>45689</v>
      </c>
      <c r="C27" s="42" t="s">
        <v>63</v>
      </c>
      <c r="D27" s="42" t="s">
        <v>45</v>
      </c>
      <c r="E27" s="42" t="s">
        <v>69</v>
      </c>
      <c r="F27" s="42" t="s">
        <v>14</v>
      </c>
      <c r="G27" s="43">
        <v>7</v>
      </c>
      <c r="H27" s="43">
        <v>2300</v>
      </c>
      <c r="I27" s="42" t="s">
        <v>22</v>
      </c>
      <c r="J27" s="42" t="s">
        <v>16</v>
      </c>
      <c r="K27" s="44">
        <v>16100</v>
      </c>
    </row>
    <row r="28" spans="1:11" x14ac:dyDescent="0.35">
      <c r="A28" s="35" t="s">
        <v>79</v>
      </c>
      <c r="B28" s="36">
        <v>45693</v>
      </c>
      <c r="C28" s="37" t="s">
        <v>80</v>
      </c>
      <c r="D28" s="37" t="s">
        <v>19</v>
      </c>
      <c r="E28" s="37" t="s">
        <v>25</v>
      </c>
      <c r="F28" s="37" t="s">
        <v>26</v>
      </c>
      <c r="G28" s="38">
        <v>7</v>
      </c>
      <c r="H28" s="38">
        <v>1200</v>
      </c>
      <c r="I28" s="37" t="s">
        <v>38</v>
      </c>
      <c r="J28" s="37" t="s">
        <v>16</v>
      </c>
      <c r="K28" s="39">
        <v>8400</v>
      </c>
    </row>
    <row r="29" spans="1:11" x14ac:dyDescent="0.35">
      <c r="A29" s="40" t="s">
        <v>81</v>
      </c>
      <c r="B29" s="41">
        <v>45693</v>
      </c>
      <c r="C29" s="42" t="s">
        <v>68</v>
      </c>
      <c r="D29" s="42" t="s">
        <v>19</v>
      </c>
      <c r="E29" s="42" t="s">
        <v>13</v>
      </c>
      <c r="F29" s="42" t="s">
        <v>14</v>
      </c>
      <c r="G29" s="43">
        <v>4</v>
      </c>
      <c r="H29" s="43">
        <v>750</v>
      </c>
      <c r="I29" s="42" t="s">
        <v>22</v>
      </c>
      <c r="J29" s="42" t="s">
        <v>32</v>
      </c>
      <c r="K29" s="44">
        <v>3000</v>
      </c>
    </row>
    <row r="30" spans="1:11" x14ac:dyDescent="0.35">
      <c r="A30" s="35" t="s">
        <v>82</v>
      </c>
      <c r="B30" s="36">
        <v>45693</v>
      </c>
      <c r="C30" s="37" t="s">
        <v>24</v>
      </c>
      <c r="D30" s="37" t="s">
        <v>34</v>
      </c>
      <c r="E30" s="37" t="s">
        <v>41</v>
      </c>
      <c r="F30" s="37" t="s">
        <v>42</v>
      </c>
      <c r="G30" s="38">
        <v>1</v>
      </c>
      <c r="H30" s="38">
        <v>52000</v>
      </c>
      <c r="I30" s="37" t="s">
        <v>38</v>
      </c>
      <c r="J30" s="37" t="s">
        <v>16</v>
      </c>
      <c r="K30" s="39">
        <v>52000</v>
      </c>
    </row>
    <row r="31" spans="1:11" x14ac:dyDescent="0.35">
      <c r="A31" s="40" t="s">
        <v>83</v>
      </c>
      <c r="B31" s="41">
        <v>45694</v>
      </c>
      <c r="C31" s="42" t="s">
        <v>63</v>
      </c>
      <c r="D31" s="42" t="s">
        <v>12</v>
      </c>
      <c r="E31" s="42" t="s">
        <v>13</v>
      </c>
      <c r="F31" s="42" t="s">
        <v>14</v>
      </c>
      <c r="G31" s="43">
        <v>2</v>
      </c>
      <c r="H31" s="43">
        <v>750</v>
      </c>
      <c r="I31" s="42" t="s">
        <v>47</v>
      </c>
      <c r="J31" s="42" t="s">
        <v>210</v>
      </c>
      <c r="K31" s="44">
        <v>1500</v>
      </c>
    </row>
    <row r="32" spans="1:11" x14ac:dyDescent="0.35">
      <c r="A32" s="35" t="s">
        <v>84</v>
      </c>
      <c r="B32" s="36">
        <v>45697</v>
      </c>
      <c r="C32" s="37" t="s">
        <v>85</v>
      </c>
      <c r="D32" s="37" t="s">
        <v>55</v>
      </c>
      <c r="E32" s="37" t="s">
        <v>50</v>
      </c>
      <c r="F32" s="37" t="s">
        <v>42</v>
      </c>
      <c r="G32" s="38">
        <v>2</v>
      </c>
      <c r="H32" s="38">
        <v>24000</v>
      </c>
      <c r="I32" s="37" t="s">
        <v>38</v>
      </c>
      <c r="J32" s="37" t="s">
        <v>27</v>
      </c>
      <c r="K32" s="39">
        <v>48000</v>
      </c>
    </row>
    <row r="33" spans="1:11" x14ac:dyDescent="0.35">
      <c r="A33" s="40" t="s">
        <v>86</v>
      </c>
      <c r="B33" s="41">
        <v>45697</v>
      </c>
      <c r="C33" s="42" t="s">
        <v>40</v>
      </c>
      <c r="D33" s="42" t="s">
        <v>34</v>
      </c>
      <c r="E33" s="42" t="s">
        <v>41</v>
      </c>
      <c r="F33" s="42" t="s">
        <v>42</v>
      </c>
      <c r="G33" s="43">
        <v>7</v>
      </c>
      <c r="H33" s="43">
        <v>52000</v>
      </c>
      <c r="I33" s="42" t="s">
        <v>38</v>
      </c>
      <c r="J33" s="42" t="s">
        <v>32</v>
      </c>
      <c r="K33" s="44">
        <v>364000</v>
      </c>
    </row>
    <row r="34" spans="1:11" x14ac:dyDescent="0.35">
      <c r="A34" s="35" t="s">
        <v>87</v>
      </c>
      <c r="B34" s="36">
        <v>45698</v>
      </c>
      <c r="C34" s="37" t="s">
        <v>65</v>
      </c>
      <c r="D34" s="37" t="s">
        <v>45</v>
      </c>
      <c r="E34" s="37" t="s">
        <v>46</v>
      </c>
      <c r="F34" s="37" t="s">
        <v>42</v>
      </c>
      <c r="G34" s="38">
        <v>11</v>
      </c>
      <c r="H34" s="38">
        <v>9500</v>
      </c>
      <c r="I34" s="37" t="s">
        <v>31</v>
      </c>
      <c r="J34" s="37" t="s">
        <v>27</v>
      </c>
      <c r="K34" s="39">
        <v>104500</v>
      </c>
    </row>
    <row r="35" spans="1:11" x14ac:dyDescent="0.35">
      <c r="A35" s="40" t="s">
        <v>88</v>
      </c>
      <c r="B35" s="41">
        <v>45699</v>
      </c>
      <c r="C35" s="42" t="s">
        <v>72</v>
      </c>
      <c r="D35" s="42" t="s">
        <v>89</v>
      </c>
      <c r="E35" s="42" t="s">
        <v>25</v>
      </c>
      <c r="F35" s="42" t="s">
        <v>26</v>
      </c>
      <c r="G35" s="43">
        <v>11</v>
      </c>
      <c r="H35" s="43">
        <v>1200</v>
      </c>
      <c r="I35" s="42" t="s">
        <v>31</v>
      </c>
      <c r="J35" s="42" t="s">
        <v>16</v>
      </c>
      <c r="K35" s="44">
        <v>13200</v>
      </c>
    </row>
    <row r="36" spans="1:11" x14ac:dyDescent="0.35">
      <c r="A36" s="35" t="s">
        <v>90</v>
      </c>
      <c r="B36" s="36">
        <v>45699</v>
      </c>
      <c r="C36" s="37" t="s">
        <v>49</v>
      </c>
      <c r="D36" s="37" t="s">
        <v>34</v>
      </c>
      <c r="E36" s="37" t="s">
        <v>46</v>
      </c>
      <c r="F36" s="37" t="s">
        <v>42</v>
      </c>
      <c r="G36" s="38">
        <v>8</v>
      </c>
      <c r="H36" s="38">
        <v>9500</v>
      </c>
      <c r="I36" s="37" t="s">
        <v>38</v>
      </c>
      <c r="J36" s="37" t="s">
        <v>32</v>
      </c>
      <c r="K36" s="39">
        <v>76000</v>
      </c>
    </row>
    <row r="37" spans="1:11" x14ac:dyDescent="0.35">
      <c r="A37" s="40" t="s">
        <v>91</v>
      </c>
      <c r="B37" s="41">
        <v>45701</v>
      </c>
      <c r="C37" s="42" t="s">
        <v>49</v>
      </c>
      <c r="D37" s="42" t="s">
        <v>12</v>
      </c>
      <c r="E37" s="42" t="s">
        <v>50</v>
      </c>
      <c r="F37" s="42" t="s">
        <v>42</v>
      </c>
      <c r="G37" s="43">
        <v>4</v>
      </c>
      <c r="H37" s="43">
        <v>24000</v>
      </c>
      <c r="I37" s="42" t="s">
        <v>38</v>
      </c>
      <c r="J37" s="42" t="s">
        <v>58</v>
      </c>
      <c r="K37" s="44">
        <v>96000</v>
      </c>
    </row>
    <row r="38" spans="1:11" x14ac:dyDescent="0.35">
      <c r="A38" s="35" t="s">
        <v>92</v>
      </c>
      <c r="B38" s="36">
        <v>45707</v>
      </c>
      <c r="C38" s="37" t="s">
        <v>93</v>
      </c>
      <c r="D38" s="37" t="s">
        <v>34</v>
      </c>
      <c r="E38" s="37" t="s">
        <v>13</v>
      </c>
      <c r="F38" s="37" t="s">
        <v>14</v>
      </c>
      <c r="G38" s="38">
        <v>4</v>
      </c>
      <c r="H38" s="38">
        <v>750</v>
      </c>
      <c r="I38" s="37" t="s">
        <v>31</v>
      </c>
      <c r="J38" s="37" t="s">
        <v>58</v>
      </c>
      <c r="K38" s="39">
        <v>3000</v>
      </c>
    </row>
    <row r="39" spans="1:11" x14ac:dyDescent="0.35">
      <c r="A39" s="40" t="s">
        <v>94</v>
      </c>
      <c r="B39" s="41">
        <v>45708</v>
      </c>
      <c r="C39" s="42" t="s">
        <v>80</v>
      </c>
      <c r="D39" s="42" t="s">
        <v>53</v>
      </c>
      <c r="E39" s="42" t="s">
        <v>95</v>
      </c>
      <c r="F39" s="42" t="s">
        <v>14</v>
      </c>
      <c r="G39" s="43">
        <v>9</v>
      </c>
      <c r="H39" s="43">
        <v>750</v>
      </c>
      <c r="I39" s="42" t="s">
        <v>31</v>
      </c>
      <c r="J39" s="42" t="s">
        <v>32</v>
      </c>
      <c r="K39" s="44">
        <v>6750</v>
      </c>
    </row>
    <row r="40" spans="1:11" x14ac:dyDescent="0.35">
      <c r="A40" s="35" t="s">
        <v>96</v>
      </c>
      <c r="B40" s="36">
        <v>45711</v>
      </c>
      <c r="C40" s="37" t="s">
        <v>97</v>
      </c>
      <c r="D40" s="37" t="s">
        <v>19</v>
      </c>
      <c r="E40" s="37" t="s">
        <v>41</v>
      </c>
      <c r="F40" s="37" t="s">
        <v>42</v>
      </c>
      <c r="G40" s="38">
        <v>11</v>
      </c>
      <c r="H40" s="38">
        <v>52000</v>
      </c>
      <c r="I40" s="37" t="s">
        <v>22</v>
      </c>
      <c r="J40" s="37" t="s">
        <v>27</v>
      </c>
      <c r="K40" s="39">
        <v>572000</v>
      </c>
    </row>
    <row r="41" spans="1:11" x14ac:dyDescent="0.35">
      <c r="A41" s="40" t="s">
        <v>98</v>
      </c>
      <c r="B41" s="41">
        <v>45712</v>
      </c>
      <c r="C41" s="42" t="s">
        <v>57</v>
      </c>
      <c r="D41" s="42" t="s">
        <v>34</v>
      </c>
      <c r="E41" s="42" t="s">
        <v>25</v>
      </c>
      <c r="F41" s="42" t="s">
        <v>26</v>
      </c>
      <c r="G41" s="43">
        <v>12</v>
      </c>
      <c r="H41" s="43">
        <v>1200</v>
      </c>
      <c r="I41" s="42" t="s">
        <v>38</v>
      </c>
      <c r="J41" s="42" t="s">
        <v>27</v>
      </c>
      <c r="K41" s="44">
        <v>14400</v>
      </c>
    </row>
    <row r="42" spans="1:11" x14ac:dyDescent="0.35">
      <c r="A42" s="35" t="s">
        <v>99</v>
      </c>
      <c r="B42" s="36">
        <v>45712</v>
      </c>
      <c r="C42" s="37" t="s">
        <v>44</v>
      </c>
      <c r="D42" s="37" t="s">
        <v>12</v>
      </c>
      <c r="E42" s="37" t="s">
        <v>25</v>
      </c>
      <c r="F42" s="37" t="s">
        <v>26</v>
      </c>
      <c r="G42" s="38">
        <v>4</v>
      </c>
      <c r="H42" s="38">
        <v>1200</v>
      </c>
      <c r="I42" s="37" t="s">
        <v>31</v>
      </c>
      <c r="J42" s="37" t="s">
        <v>27</v>
      </c>
      <c r="K42" s="39">
        <v>4800</v>
      </c>
    </row>
    <row r="43" spans="1:11" x14ac:dyDescent="0.35">
      <c r="A43" s="40" t="s">
        <v>100</v>
      </c>
      <c r="B43" s="41">
        <v>45713</v>
      </c>
      <c r="C43" s="42" t="s">
        <v>18</v>
      </c>
      <c r="D43" s="42" t="s">
        <v>55</v>
      </c>
      <c r="E43" s="42" t="s">
        <v>25</v>
      </c>
      <c r="F43" s="42" t="s">
        <v>26</v>
      </c>
      <c r="G43" s="43">
        <v>5</v>
      </c>
      <c r="H43" s="43">
        <v>1200</v>
      </c>
      <c r="I43" s="42" t="s">
        <v>22</v>
      </c>
      <c r="J43" s="42" t="s">
        <v>210</v>
      </c>
      <c r="K43" s="44">
        <v>6000</v>
      </c>
    </row>
    <row r="44" spans="1:11" x14ac:dyDescent="0.35">
      <c r="A44" s="35" t="s">
        <v>101</v>
      </c>
      <c r="B44" s="36">
        <v>45713</v>
      </c>
      <c r="C44" s="37" t="s">
        <v>65</v>
      </c>
      <c r="D44" s="37" t="s">
        <v>34</v>
      </c>
      <c r="E44" s="37" t="s">
        <v>69</v>
      </c>
      <c r="F44" s="37" t="s">
        <v>14</v>
      </c>
      <c r="G44" s="38">
        <v>1</v>
      </c>
      <c r="H44" s="38">
        <v>2300</v>
      </c>
      <c r="I44" s="37" t="s">
        <v>31</v>
      </c>
      <c r="J44" s="37" t="s">
        <v>27</v>
      </c>
      <c r="K44" s="39">
        <v>2300</v>
      </c>
    </row>
    <row r="45" spans="1:11" x14ac:dyDescent="0.35">
      <c r="A45" s="40" t="s">
        <v>102</v>
      </c>
      <c r="B45" s="41">
        <v>45714</v>
      </c>
      <c r="C45" s="42" t="s">
        <v>77</v>
      </c>
      <c r="D45" s="42" t="s">
        <v>30</v>
      </c>
      <c r="E45" s="42" t="s">
        <v>25</v>
      </c>
      <c r="F45" s="42" t="s">
        <v>26</v>
      </c>
      <c r="G45" s="43">
        <v>8</v>
      </c>
      <c r="H45" s="43">
        <v>1200</v>
      </c>
      <c r="I45" s="42" t="s">
        <v>38</v>
      </c>
      <c r="J45" s="42" t="s">
        <v>16</v>
      </c>
      <c r="K45" s="44">
        <v>9600</v>
      </c>
    </row>
    <row r="46" spans="1:11" x14ac:dyDescent="0.35">
      <c r="A46" s="35" t="s">
        <v>103</v>
      </c>
      <c r="B46" s="36"/>
      <c r="C46" s="37" t="s">
        <v>57</v>
      </c>
      <c r="D46" s="37" t="s">
        <v>34</v>
      </c>
      <c r="E46" s="37" t="s">
        <v>41</v>
      </c>
      <c r="F46" s="37" t="s">
        <v>42</v>
      </c>
      <c r="G46" s="38">
        <v>12</v>
      </c>
      <c r="H46" s="38">
        <v>52000</v>
      </c>
      <c r="I46" s="37" t="s">
        <v>47</v>
      </c>
      <c r="J46" s="37" t="s">
        <v>32</v>
      </c>
      <c r="K46" s="39">
        <v>624000</v>
      </c>
    </row>
    <row r="47" spans="1:11" x14ac:dyDescent="0.35">
      <c r="A47" s="40" t="s">
        <v>104</v>
      </c>
      <c r="B47" s="41">
        <v>45714</v>
      </c>
      <c r="C47" s="42" t="s">
        <v>93</v>
      </c>
      <c r="D47" s="42" t="s">
        <v>12</v>
      </c>
      <c r="E47" s="42" t="s">
        <v>41</v>
      </c>
      <c r="F47" s="42" t="s">
        <v>42</v>
      </c>
      <c r="G47" s="43">
        <v>9</v>
      </c>
      <c r="H47" s="43">
        <v>52000</v>
      </c>
      <c r="I47" s="42" t="s">
        <v>47</v>
      </c>
      <c r="J47" s="42" t="s">
        <v>16</v>
      </c>
      <c r="K47" s="44">
        <v>468000</v>
      </c>
    </row>
    <row r="48" spans="1:11" x14ac:dyDescent="0.35">
      <c r="A48" s="35" t="s">
        <v>105</v>
      </c>
      <c r="B48" s="36">
        <v>45715</v>
      </c>
      <c r="C48" s="37" t="s">
        <v>63</v>
      </c>
      <c r="D48" s="37" t="s">
        <v>19</v>
      </c>
      <c r="E48" s="37" t="s">
        <v>13</v>
      </c>
      <c r="F48" s="37" t="s">
        <v>14</v>
      </c>
      <c r="G48" s="38">
        <v>6</v>
      </c>
      <c r="H48" s="38">
        <v>750</v>
      </c>
      <c r="I48" s="37" t="s">
        <v>22</v>
      </c>
      <c r="J48" s="37" t="s">
        <v>58</v>
      </c>
      <c r="K48" s="39">
        <v>4500</v>
      </c>
    </row>
    <row r="49" spans="1:11" x14ac:dyDescent="0.35">
      <c r="A49" s="40" t="s">
        <v>106</v>
      </c>
      <c r="B49" s="41">
        <v>45716</v>
      </c>
      <c r="C49" s="42" t="s">
        <v>85</v>
      </c>
      <c r="D49" s="42" t="s">
        <v>30</v>
      </c>
      <c r="E49" s="42" t="s">
        <v>37</v>
      </c>
      <c r="F49" s="42" t="s">
        <v>26</v>
      </c>
      <c r="G49" s="43">
        <v>2</v>
      </c>
      <c r="H49" s="43">
        <v>6800</v>
      </c>
      <c r="I49" s="42" t="s">
        <v>31</v>
      </c>
      <c r="J49" s="42" t="s">
        <v>32</v>
      </c>
      <c r="K49" s="44">
        <v>13600</v>
      </c>
    </row>
    <row r="50" spans="1:11" x14ac:dyDescent="0.35">
      <c r="A50" s="35" t="s">
        <v>107</v>
      </c>
      <c r="B50" s="36">
        <v>45716</v>
      </c>
      <c r="C50" s="37" t="s">
        <v>40</v>
      </c>
      <c r="D50" s="37" t="s">
        <v>30</v>
      </c>
      <c r="E50" s="37" t="s">
        <v>69</v>
      </c>
      <c r="F50" s="37" t="s">
        <v>14</v>
      </c>
      <c r="G50" s="38">
        <v>3</v>
      </c>
      <c r="H50" s="38">
        <v>2300</v>
      </c>
      <c r="I50" s="37" t="s">
        <v>47</v>
      </c>
      <c r="J50" s="37" t="s">
        <v>27</v>
      </c>
      <c r="K50" s="39">
        <v>6900</v>
      </c>
    </row>
    <row r="51" spans="1:11" x14ac:dyDescent="0.35">
      <c r="A51" s="40" t="s">
        <v>108</v>
      </c>
      <c r="B51" s="41">
        <v>45717</v>
      </c>
      <c r="C51" s="42" t="s">
        <v>11</v>
      </c>
      <c r="D51" s="42" t="s">
        <v>34</v>
      </c>
      <c r="E51" s="42" t="s">
        <v>13</v>
      </c>
      <c r="F51" s="42" t="s">
        <v>14</v>
      </c>
      <c r="G51" s="43">
        <v>3</v>
      </c>
      <c r="H51" s="43">
        <v>750</v>
      </c>
      <c r="I51" s="42" t="s">
        <v>31</v>
      </c>
      <c r="J51" s="42" t="s">
        <v>16</v>
      </c>
      <c r="K51" s="44">
        <v>2250</v>
      </c>
    </row>
    <row r="52" spans="1:11" x14ac:dyDescent="0.35">
      <c r="A52" s="35" t="s">
        <v>109</v>
      </c>
      <c r="B52" s="36">
        <v>45717</v>
      </c>
      <c r="C52" s="37" t="s">
        <v>65</v>
      </c>
      <c r="D52" s="37" t="s">
        <v>45</v>
      </c>
      <c r="E52" s="37" t="s">
        <v>37</v>
      </c>
      <c r="F52" s="37" t="s">
        <v>26</v>
      </c>
      <c r="G52" s="38">
        <v>12</v>
      </c>
      <c r="H52" s="38">
        <v>6800</v>
      </c>
      <c r="I52" s="37" t="s">
        <v>22</v>
      </c>
      <c r="J52" s="37" t="s">
        <v>16</v>
      </c>
      <c r="K52" s="39">
        <v>81600</v>
      </c>
    </row>
    <row r="53" spans="1:11" x14ac:dyDescent="0.35">
      <c r="A53" s="40" t="s">
        <v>110</v>
      </c>
      <c r="B53" s="41">
        <v>45720</v>
      </c>
      <c r="C53" s="42" t="s">
        <v>111</v>
      </c>
      <c r="D53" s="42" t="s">
        <v>45</v>
      </c>
      <c r="E53" s="42" t="s">
        <v>41</v>
      </c>
      <c r="F53" s="42" t="s">
        <v>42</v>
      </c>
      <c r="G53" s="43">
        <v>4</v>
      </c>
      <c r="H53" s="43">
        <v>52000</v>
      </c>
      <c r="I53" s="42" t="s">
        <v>15</v>
      </c>
      <c r="J53" s="42" t="s">
        <v>58</v>
      </c>
      <c r="K53" s="44">
        <v>208000</v>
      </c>
    </row>
    <row r="54" spans="1:11" x14ac:dyDescent="0.35">
      <c r="A54" s="35" t="s">
        <v>112</v>
      </c>
      <c r="B54" s="36">
        <v>45720</v>
      </c>
      <c r="C54" s="37" t="s">
        <v>85</v>
      </c>
      <c r="D54" s="37" t="s">
        <v>45</v>
      </c>
      <c r="E54" s="37" t="s">
        <v>25</v>
      </c>
      <c r="F54" s="37" t="s">
        <v>26</v>
      </c>
      <c r="G54" s="38">
        <v>1</v>
      </c>
      <c r="H54" s="38">
        <v>1200</v>
      </c>
      <c r="I54" s="37" t="s">
        <v>47</v>
      </c>
      <c r="J54" s="37" t="s">
        <v>16</v>
      </c>
      <c r="K54" s="39">
        <v>1200</v>
      </c>
    </row>
    <row r="55" spans="1:11" x14ac:dyDescent="0.35">
      <c r="A55" s="40" t="s">
        <v>113</v>
      </c>
      <c r="B55" s="41">
        <v>45721</v>
      </c>
      <c r="C55" s="42" t="s">
        <v>65</v>
      </c>
      <c r="D55" s="42" t="s">
        <v>53</v>
      </c>
      <c r="E55" s="42" t="s">
        <v>46</v>
      </c>
      <c r="F55" s="42" t="s">
        <v>42</v>
      </c>
      <c r="G55" s="43">
        <v>2</v>
      </c>
      <c r="H55" s="43">
        <v>9500</v>
      </c>
      <c r="I55" s="42" t="s">
        <v>31</v>
      </c>
      <c r="J55" s="42" t="s">
        <v>58</v>
      </c>
      <c r="K55" s="44">
        <v>19000</v>
      </c>
    </row>
    <row r="56" spans="1:11" x14ac:dyDescent="0.35">
      <c r="A56" s="35" t="s">
        <v>114</v>
      </c>
      <c r="B56" s="36">
        <v>45725</v>
      </c>
      <c r="C56" s="37" t="s">
        <v>97</v>
      </c>
      <c r="D56" s="37" t="s">
        <v>19</v>
      </c>
      <c r="E56" s="37" t="s">
        <v>69</v>
      </c>
      <c r="F56" s="37" t="s">
        <v>14</v>
      </c>
      <c r="G56" s="38">
        <v>1</v>
      </c>
      <c r="H56" s="38">
        <v>2300</v>
      </c>
      <c r="I56" s="37" t="s">
        <v>22</v>
      </c>
      <c r="J56" s="37" t="s">
        <v>58</v>
      </c>
      <c r="K56" s="39">
        <v>2300</v>
      </c>
    </row>
    <row r="57" spans="1:11" x14ac:dyDescent="0.35">
      <c r="A57" s="40" t="s">
        <v>115</v>
      </c>
      <c r="B57" s="41">
        <v>45725</v>
      </c>
      <c r="C57" s="42" t="s">
        <v>60</v>
      </c>
      <c r="D57" s="42" t="s">
        <v>19</v>
      </c>
      <c r="E57" s="42" t="s">
        <v>13</v>
      </c>
      <c r="F57" s="42" t="s">
        <v>14</v>
      </c>
      <c r="G57" s="43">
        <v>1</v>
      </c>
      <c r="H57" s="43">
        <v>750</v>
      </c>
      <c r="I57" s="42" t="s">
        <v>22</v>
      </c>
      <c r="J57" s="42" t="s">
        <v>32</v>
      </c>
      <c r="K57" s="44">
        <v>750</v>
      </c>
    </row>
    <row r="58" spans="1:11" x14ac:dyDescent="0.35">
      <c r="A58" s="35" t="s">
        <v>116</v>
      </c>
      <c r="B58" s="36">
        <v>45725</v>
      </c>
      <c r="C58" s="37" t="s">
        <v>93</v>
      </c>
      <c r="D58" s="37" t="s">
        <v>30</v>
      </c>
      <c r="E58" s="37" t="s">
        <v>69</v>
      </c>
      <c r="F58" s="37" t="s">
        <v>14</v>
      </c>
      <c r="G58" s="38">
        <v>6</v>
      </c>
      <c r="H58" s="38">
        <v>2300</v>
      </c>
      <c r="I58" s="37" t="s">
        <v>15</v>
      </c>
      <c r="J58" s="37" t="s">
        <v>32</v>
      </c>
      <c r="K58" s="39">
        <v>13800</v>
      </c>
    </row>
    <row r="59" spans="1:11" x14ac:dyDescent="0.35">
      <c r="A59" s="40" t="s">
        <v>117</v>
      </c>
      <c r="B59" s="41">
        <v>45726</v>
      </c>
      <c r="C59" s="42" t="s">
        <v>72</v>
      </c>
      <c r="D59" s="42" t="s">
        <v>12</v>
      </c>
      <c r="E59" s="42" t="s">
        <v>50</v>
      </c>
      <c r="F59" s="42" t="s">
        <v>42</v>
      </c>
      <c r="G59" s="43">
        <v>4</v>
      </c>
      <c r="H59" s="43">
        <v>24000</v>
      </c>
      <c r="I59" s="42" t="s">
        <v>31</v>
      </c>
      <c r="J59" s="42" t="s">
        <v>210</v>
      </c>
      <c r="K59" s="44">
        <v>96000</v>
      </c>
    </row>
    <row r="60" spans="1:11" x14ac:dyDescent="0.35">
      <c r="A60" s="35" t="s">
        <v>118</v>
      </c>
      <c r="B60" s="36">
        <v>45726</v>
      </c>
      <c r="C60" s="37" t="s">
        <v>29</v>
      </c>
      <c r="D60" s="37" t="s">
        <v>12</v>
      </c>
      <c r="E60" s="37" t="s">
        <v>69</v>
      </c>
      <c r="F60" s="37" t="s">
        <v>14</v>
      </c>
      <c r="G60" s="38">
        <v>9</v>
      </c>
      <c r="H60" s="38">
        <v>2300</v>
      </c>
      <c r="I60" s="37" t="s">
        <v>47</v>
      </c>
      <c r="J60" s="37" t="s">
        <v>58</v>
      </c>
      <c r="K60" s="39">
        <v>20700</v>
      </c>
    </row>
    <row r="61" spans="1:11" x14ac:dyDescent="0.35">
      <c r="A61" s="40" t="s">
        <v>119</v>
      </c>
      <c r="B61" s="41">
        <v>45727</v>
      </c>
      <c r="C61" s="42" t="s">
        <v>49</v>
      </c>
      <c r="D61" s="42" t="s">
        <v>30</v>
      </c>
      <c r="E61" s="42" t="s">
        <v>69</v>
      </c>
      <c r="F61" s="42" t="s">
        <v>14</v>
      </c>
      <c r="G61" s="43">
        <v>6</v>
      </c>
      <c r="H61" s="43">
        <v>2300</v>
      </c>
      <c r="I61" s="42" t="s">
        <v>38</v>
      </c>
      <c r="J61" s="42" t="s">
        <v>58</v>
      </c>
      <c r="K61" s="44">
        <v>13800</v>
      </c>
    </row>
    <row r="62" spans="1:11" x14ac:dyDescent="0.35">
      <c r="A62" s="35" t="s">
        <v>120</v>
      </c>
      <c r="B62" s="36">
        <v>45728</v>
      </c>
      <c r="C62" s="37" t="s">
        <v>44</v>
      </c>
      <c r="D62" s="37" t="s">
        <v>12</v>
      </c>
      <c r="E62" s="37" t="s">
        <v>50</v>
      </c>
      <c r="F62" s="37" t="s">
        <v>42</v>
      </c>
      <c r="G62" s="38">
        <v>5</v>
      </c>
      <c r="H62" s="38">
        <v>24000</v>
      </c>
      <c r="I62" s="37" t="s">
        <v>15</v>
      </c>
      <c r="J62" s="37" t="s">
        <v>58</v>
      </c>
      <c r="K62" s="39">
        <v>120000</v>
      </c>
    </row>
    <row r="63" spans="1:11" x14ac:dyDescent="0.35">
      <c r="A63" s="40" t="s">
        <v>121</v>
      </c>
      <c r="B63" s="41">
        <v>45729</v>
      </c>
      <c r="C63" s="42" t="s">
        <v>44</v>
      </c>
      <c r="D63" s="42" t="s">
        <v>12</v>
      </c>
      <c r="E63" s="42" t="s">
        <v>69</v>
      </c>
      <c r="F63" s="42" t="s">
        <v>14</v>
      </c>
      <c r="G63" s="43">
        <v>3</v>
      </c>
      <c r="H63" s="43">
        <v>2300</v>
      </c>
      <c r="I63" s="42" t="s">
        <v>47</v>
      </c>
      <c r="J63" s="42" t="s">
        <v>16</v>
      </c>
      <c r="K63" s="44">
        <v>6900</v>
      </c>
    </row>
    <row r="64" spans="1:11" x14ac:dyDescent="0.35">
      <c r="A64" s="35" t="s">
        <v>122</v>
      </c>
      <c r="B64" s="36">
        <v>45729</v>
      </c>
      <c r="C64" s="37" t="s">
        <v>77</v>
      </c>
      <c r="D64" s="37" t="s">
        <v>12</v>
      </c>
      <c r="E64" s="37" t="s">
        <v>69</v>
      </c>
      <c r="F64" s="37" t="s">
        <v>14</v>
      </c>
      <c r="G64" s="38">
        <v>10</v>
      </c>
      <c r="H64" s="38">
        <v>2300</v>
      </c>
      <c r="I64" s="37" t="s">
        <v>31</v>
      </c>
      <c r="J64" s="37" t="s">
        <v>16</v>
      </c>
      <c r="K64" s="39">
        <v>23000</v>
      </c>
    </row>
    <row r="65" spans="1:11" x14ac:dyDescent="0.35">
      <c r="A65" s="40" t="s">
        <v>123</v>
      </c>
      <c r="B65" s="41">
        <v>45729</v>
      </c>
      <c r="C65" s="42" t="s">
        <v>44</v>
      </c>
      <c r="D65" s="42" t="s">
        <v>19</v>
      </c>
      <c r="E65" s="42" t="s">
        <v>41</v>
      </c>
      <c r="F65" s="42" t="s">
        <v>42</v>
      </c>
      <c r="G65" s="43">
        <v>4</v>
      </c>
      <c r="H65" s="43">
        <v>52000</v>
      </c>
      <c r="I65" s="42" t="s">
        <v>15</v>
      </c>
      <c r="J65" s="42" t="s">
        <v>32</v>
      </c>
      <c r="K65" s="44">
        <v>208000</v>
      </c>
    </row>
    <row r="66" spans="1:11" x14ac:dyDescent="0.35">
      <c r="A66" s="35" t="s">
        <v>124</v>
      </c>
      <c r="B66" s="36">
        <v>45732</v>
      </c>
      <c r="C66" s="37" t="s">
        <v>80</v>
      </c>
      <c r="D66" s="37" t="s">
        <v>55</v>
      </c>
      <c r="E66" s="37" t="s">
        <v>46</v>
      </c>
      <c r="F66" s="37" t="s">
        <v>42</v>
      </c>
      <c r="G66" s="38">
        <v>8</v>
      </c>
      <c r="H66" s="38">
        <v>9500</v>
      </c>
      <c r="I66" s="37" t="s">
        <v>47</v>
      </c>
      <c r="J66" s="37" t="s">
        <v>32</v>
      </c>
      <c r="K66" s="39">
        <v>76000</v>
      </c>
    </row>
    <row r="67" spans="1:11" x14ac:dyDescent="0.35">
      <c r="A67" s="40" t="s">
        <v>125</v>
      </c>
      <c r="B67" s="41">
        <v>45733</v>
      </c>
      <c r="C67" s="42" t="s">
        <v>77</v>
      </c>
      <c r="D67" s="42" t="s">
        <v>30</v>
      </c>
      <c r="E67" s="42" t="s">
        <v>20</v>
      </c>
      <c r="F67" s="42" t="s">
        <v>21</v>
      </c>
      <c r="G67" s="43">
        <v>2</v>
      </c>
      <c r="H67" s="43">
        <v>450</v>
      </c>
      <c r="I67" s="42" t="s">
        <v>31</v>
      </c>
      <c r="J67" s="42" t="s">
        <v>32</v>
      </c>
      <c r="K67" s="44">
        <v>900</v>
      </c>
    </row>
    <row r="68" spans="1:11" x14ac:dyDescent="0.35">
      <c r="A68" s="35" t="s">
        <v>126</v>
      </c>
      <c r="B68" s="36">
        <v>45738</v>
      </c>
      <c r="C68" s="37" t="s">
        <v>49</v>
      </c>
      <c r="D68" s="37" t="s">
        <v>53</v>
      </c>
      <c r="E68" s="37" t="s">
        <v>46</v>
      </c>
      <c r="F68" s="37" t="s">
        <v>42</v>
      </c>
      <c r="G68" s="38">
        <v>4</v>
      </c>
      <c r="H68" s="38">
        <v>9500</v>
      </c>
      <c r="I68" s="37" t="s">
        <v>31</v>
      </c>
      <c r="J68" s="37" t="s">
        <v>27</v>
      </c>
      <c r="K68" s="39">
        <v>38000</v>
      </c>
    </row>
    <row r="69" spans="1:11" x14ac:dyDescent="0.35">
      <c r="A69" s="40" t="s">
        <v>127</v>
      </c>
      <c r="B69" s="41">
        <v>45738</v>
      </c>
      <c r="C69" s="42" t="s">
        <v>36</v>
      </c>
      <c r="D69" s="42" t="s">
        <v>34</v>
      </c>
      <c r="E69" s="42" t="s">
        <v>37</v>
      </c>
      <c r="F69" s="42" t="s">
        <v>26</v>
      </c>
      <c r="G69" s="43">
        <v>1</v>
      </c>
      <c r="H69" s="43">
        <v>6800</v>
      </c>
      <c r="I69" s="42" t="s">
        <v>47</v>
      </c>
      <c r="J69" s="42" t="s">
        <v>16</v>
      </c>
      <c r="K69" s="44">
        <v>6800</v>
      </c>
    </row>
    <row r="70" spans="1:11" x14ac:dyDescent="0.35">
      <c r="A70" s="35" t="s">
        <v>128</v>
      </c>
      <c r="B70" s="36">
        <v>45741</v>
      </c>
      <c r="C70" s="37" t="s">
        <v>80</v>
      </c>
      <c r="D70" s="37" t="s">
        <v>55</v>
      </c>
      <c r="E70" s="37" t="s">
        <v>50</v>
      </c>
      <c r="F70" s="37" t="s">
        <v>42</v>
      </c>
      <c r="G70" s="38">
        <v>11</v>
      </c>
      <c r="H70" s="38">
        <v>24000</v>
      </c>
      <c r="I70" s="37" t="s">
        <v>38</v>
      </c>
      <c r="J70" s="37" t="s">
        <v>27</v>
      </c>
      <c r="K70" s="39">
        <v>264000</v>
      </c>
    </row>
    <row r="71" spans="1:11" x14ac:dyDescent="0.35">
      <c r="A71" s="40" t="s">
        <v>129</v>
      </c>
      <c r="B71" s="41">
        <v>45744</v>
      </c>
      <c r="C71" s="42" t="s">
        <v>111</v>
      </c>
      <c r="D71" s="42" t="s">
        <v>55</v>
      </c>
      <c r="E71" s="42" t="s">
        <v>69</v>
      </c>
      <c r="F71" s="42" t="s">
        <v>14</v>
      </c>
      <c r="G71" s="43">
        <v>4</v>
      </c>
      <c r="H71" s="43">
        <v>2300</v>
      </c>
      <c r="I71" s="42" t="s">
        <v>47</v>
      </c>
      <c r="J71" s="42" t="s">
        <v>210</v>
      </c>
      <c r="K71" s="44">
        <v>9200</v>
      </c>
    </row>
    <row r="72" spans="1:11" x14ac:dyDescent="0.35">
      <c r="A72" s="35" t="s">
        <v>130</v>
      </c>
      <c r="B72" s="36">
        <v>45745</v>
      </c>
      <c r="C72" s="37" t="s">
        <v>11</v>
      </c>
      <c r="D72" s="37" t="s">
        <v>45</v>
      </c>
      <c r="E72" s="37" t="s">
        <v>50</v>
      </c>
      <c r="F72" s="37" t="s">
        <v>42</v>
      </c>
      <c r="G72" s="38">
        <v>3</v>
      </c>
      <c r="H72" s="38">
        <v>24000</v>
      </c>
      <c r="I72" s="37" t="s">
        <v>38</v>
      </c>
      <c r="J72" s="37" t="s">
        <v>16</v>
      </c>
      <c r="K72" s="39">
        <v>72000</v>
      </c>
    </row>
    <row r="73" spans="1:11" x14ac:dyDescent="0.35">
      <c r="A73" s="40" t="s">
        <v>131</v>
      </c>
      <c r="B73" s="41">
        <v>45746</v>
      </c>
      <c r="C73" s="42" t="s">
        <v>97</v>
      </c>
      <c r="D73" s="42" t="s">
        <v>45</v>
      </c>
      <c r="E73" s="42" t="s">
        <v>41</v>
      </c>
      <c r="F73" s="42" t="s">
        <v>42</v>
      </c>
      <c r="G73" s="43">
        <v>2</v>
      </c>
      <c r="H73" s="43">
        <v>52000</v>
      </c>
      <c r="I73" s="42" t="s">
        <v>132</v>
      </c>
      <c r="J73" s="42" t="s">
        <v>27</v>
      </c>
      <c r="K73" s="44">
        <v>104000</v>
      </c>
    </row>
    <row r="74" spans="1:11" x14ac:dyDescent="0.35">
      <c r="A74" s="35" t="s">
        <v>133</v>
      </c>
      <c r="B74" s="36">
        <v>45748</v>
      </c>
      <c r="C74" s="37" t="s">
        <v>18</v>
      </c>
      <c r="D74" s="37" t="s">
        <v>12</v>
      </c>
      <c r="E74" s="37" t="s">
        <v>20</v>
      </c>
      <c r="F74" s="37" t="s">
        <v>21</v>
      </c>
      <c r="G74" s="38">
        <v>10</v>
      </c>
      <c r="H74" s="38">
        <v>450</v>
      </c>
      <c r="I74" s="37" t="s">
        <v>31</v>
      </c>
      <c r="J74" s="37" t="s">
        <v>16</v>
      </c>
      <c r="K74" s="39">
        <v>4500</v>
      </c>
    </row>
    <row r="75" spans="1:11" x14ac:dyDescent="0.35">
      <c r="A75" s="40" t="s">
        <v>134</v>
      </c>
      <c r="B75" s="41">
        <v>45749</v>
      </c>
      <c r="C75" s="42" t="s">
        <v>97</v>
      </c>
      <c r="D75" s="42" t="s">
        <v>55</v>
      </c>
      <c r="E75" s="42" t="s">
        <v>211</v>
      </c>
      <c r="F75" s="42" t="s">
        <v>14</v>
      </c>
      <c r="G75" s="43">
        <v>3</v>
      </c>
      <c r="H75" s="43">
        <v>2300</v>
      </c>
      <c r="I75" s="42" t="s">
        <v>15</v>
      </c>
      <c r="J75" s="42" t="s">
        <v>16</v>
      </c>
      <c r="K75" s="44">
        <v>6900</v>
      </c>
    </row>
    <row r="76" spans="1:11" x14ac:dyDescent="0.35">
      <c r="A76" s="35" t="s">
        <v>135</v>
      </c>
      <c r="B76" s="36">
        <v>45750</v>
      </c>
      <c r="C76" s="37" t="s">
        <v>85</v>
      </c>
      <c r="D76" s="37" t="s">
        <v>53</v>
      </c>
      <c r="E76" s="37" t="s">
        <v>25</v>
      </c>
      <c r="F76" s="37" t="s">
        <v>26</v>
      </c>
      <c r="G76" s="38">
        <v>11</v>
      </c>
      <c r="H76" s="38">
        <v>1200</v>
      </c>
      <c r="I76" s="37" t="s">
        <v>31</v>
      </c>
      <c r="J76" s="37" t="s">
        <v>32</v>
      </c>
      <c r="K76" s="39">
        <v>13200</v>
      </c>
    </row>
    <row r="77" spans="1:11" x14ac:dyDescent="0.35">
      <c r="A77" s="40" t="s">
        <v>136</v>
      </c>
      <c r="B77" s="41">
        <v>45750</v>
      </c>
      <c r="C77" s="42" t="s">
        <v>85</v>
      </c>
      <c r="D77" s="42" t="s">
        <v>137</v>
      </c>
      <c r="E77" s="42" t="s">
        <v>20</v>
      </c>
      <c r="F77" s="42" t="s">
        <v>21</v>
      </c>
      <c r="G77" s="43">
        <v>8</v>
      </c>
      <c r="H77" s="43">
        <v>450</v>
      </c>
      <c r="I77" s="42" t="s">
        <v>22</v>
      </c>
      <c r="J77" s="42" t="s">
        <v>58</v>
      </c>
      <c r="K77" s="44">
        <v>3600</v>
      </c>
    </row>
    <row r="78" spans="1:11" x14ac:dyDescent="0.35">
      <c r="A78" s="35" t="s">
        <v>138</v>
      </c>
      <c r="B78" s="36">
        <v>45751</v>
      </c>
      <c r="C78" s="37" t="s">
        <v>65</v>
      </c>
      <c r="D78" s="37" t="s">
        <v>19</v>
      </c>
      <c r="E78" s="37" t="s">
        <v>37</v>
      </c>
      <c r="F78" s="37" t="s">
        <v>26</v>
      </c>
      <c r="G78" s="38">
        <v>6</v>
      </c>
      <c r="H78" s="38">
        <v>6800</v>
      </c>
      <c r="I78" s="37" t="s">
        <v>38</v>
      </c>
      <c r="J78" s="37" t="s">
        <v>210</v>
      </c>
      <c r="K78" s="39">
        <v>40800</v>
      </c>
    </row>
    <row r="79" spans="1:11" x14ac:dyDescent="0.35">
      <c r="A79" s="40" t="s">
        <v>139</v>
      </c>
      <c r="B79" s="41">
        <v>45752</v>
      </c>
      <c r="C79" s="42" t="s">
        <v>36</v>
      </c>
      <c r="D79" s="42" t="s">
        <v>45</v>
      </c>
      <c r="E79" s="42" t="s">
        <v>13</v>
      </c>
      <c r="F79" s="42" t="s">
        <v>14</v>
      </c>
      <c r="G79" s="43">
        <v>7</v>
      </c>
      <c r="H79" s="43">
        <v>750</v>
      </c>
      <c r="I79" s="42" t="s">
        <v>47</v>
      </c>
      <c r="J79" s="42" t="s">
        <v>27</v>
      </c>
      <c r="K79" s="44">
        <v>5250</v>
      </c>
    </row>
    <row r="80" spans="1:11" x14ac:dyDescent="0.35">
      <c r="A80" s="35" t="s">
        <v>140</v>
      </c>
      <c r="B80" s="36">
        <v>45754</v>
      </c>
      <c r="C80" s="37" t="s">
        <v>11</v>
      </c>
      <c r="D80" s="37" t="s">
        <v>55</v>
      </c>
      <c r="E80" s="37" t="s">
        <v>50</v>
      </c>
      <c r="F80" s="37" t="s">
        <v>42</v>
      </c>
      <c r="G80" s="38">
        <v>6</v>
      </c>
      <c r="H80" s="38">
        <v>24000</v>
      </c>
      <c r="I80" s="37" t="s">
        <v>38</v>
      </c>
      <c r="J80" s="37" t="s">
        <v>16</v>
      </c>
      <c r="K80" s="39">
        <v>144000</v>
      </c>
    </row>
    <row r="81" spans="1:11" x14ac:dyDescent="0.35">
      <c r="A81" s="40" t="s">
        <v>141</v>
      </c>
      <c r="B81" s="41">
        <v>45755</v>
      </c>
      <c r="C81" s="42" t="s">
        <v>63</v>
      </c>
      <c r="D81" s="42" t="s">
        <v>45</v>
      </c>
      <c r="E81" s="42" t="s">
        <v>69</v>
      </c>
      <c r="F81" s="42" t="s">
        <v>14</v>
      </c>
      <c r="G81" s="43">
        <v>7</v>
      </c>
      <c r="H81" s="43">
        <v>2300</v>
      </c>
      <c r="I81" s="42" t="s">
        <v>15</v>
      </c>
      <c r="J81" s="42" t="s">
        <v>32</v>
      </c>
      <c r="K81" s="44">
        <v>16100</v>
      </c>
    </row>
    <row r="82" spans="1:11" x14ac:dyDescent="0.35">
      <c r="A82" s="35" t="s">
        <v>142</v>
      </c>
      <c r="B82" s="36">
        <v>45755</v>
      </c>
      <c r="C82" s="37" t="s">
        <v>60</v>
      </c>
      <c r="D82" s="37" t="s">
        <v>55</v>
      </c>
      <c r="E82" s="37" t="s">
        <v>41</v>
      </c>
      <c r="F82" s="37" t="s">
        <v>42</v>
      </c>
      <c r="G82" s="38">
        <v>8</v>
      </c>
      <c r="H82" s="38">
        <v>52000</v>
      </c>
      <c r="I82" s="37" t="s">
        <v>22</v>
      </c>
      <c r="J82" s="37" t="s">
        <v>58</v>
      </c>
      <c r="K82" s="39">
        <v>416000</v>
      </c>
    </row>
    <row r="83" spans="1:11" x14ac:dyDescent="0.35">
      <c r="A83" s="40" t="s">
        <v>143</v>
      </c>
      <c r="B83" s="41">
        <v>45755</v>
      </c>
      <c r="C83" s="42" t="s">
        <v>72</v>
      </c>
      <c r="D83" s="42" t="s">
        <v>53</v>
      </c>
      <c r="E83" s="42" t="s">
        <v>25</v>
      </c>
      <c r="F83" s="42" t="s">
        <v>26</v>
      </c>
      <c r="G83" s="43">
        <v>7</v>
      </c>
      <c r="H83" s="43">
        <v>1200</v>
      </c>
      <c r="I83" s="42" t="s">
        <v>38</v>
      </c>
      <c r="J83" s="42" t="s">
        <v>32</v>
      </c>
      <c r="K83" s="44">
        <v>8400</v>
      </c>
    </row>
    <row r="84" spans="1:11" x14ac:dyDescent="0.35">
      <c r="A84" s="35" t="s">
        <v>144</v>
      </c>
      <c r="B84" s="36">
        <v>45759</v>
      </c>
      <c r="C84" s="37" t="s">
        <v>111</v>
      </c>
      <c r="D84" s="37" t="s">
        <v>45</v>
      </c>
      <c r="E84" s="37" t="s">
        <v>37</v>
      </c>
      <c r="F84" s="37" t="s">
        <v>26</v>
      </c>
      <c r="G84" s="38">
        <v>5</v>
      </c>
      <c r="H84" s="38">
        <v>6800</v>
      </c>
      <c r="I84" s="37" t="s">
        <v>15</v>
      </c>
      <c r="J84" s="37" t="s">
        <v>16</v>
      </c>
      <c r="K84" s="39">
        <v>34000</v>
      </c>
    </row>
    <row r="85" spans="1:11" x14ac:dyDescent="0.35">
      <c r="A85" s="40" t="s">
        <v>145</v>
      </c>
      <c r="B85" s="41">
        <v>45760</v>
      </c>
      <c r="C85" s="42" t="s">
        <v>72</v>
      </c>
      <c r="D85" s="42" t="s">
        <v>19</v>
      </c>
      <c r="E85" s="42" t="s">
        <v>41</v>
      </c>
      <c r="F85" s="42" t="s">
        <v>42</v>
      </c>
      <c r="G85" s="43">
        <v>11</v>
      </c>
      <c r="H85" s="43">
        <v>52000</v>
      </c>
      <c r="I85" s="42" t="s">
        <v>15</v>
      </c>
      <c r="J85" s="42" t="s">
        <v>27</v>
      </c>
      <c r="K85" s="44">
        <v>572000</v>
      </c>
    </row>
    <row r="86" spans="1:11" x14ac:dyDescent="0.35">
      <c r="A86" s="35" t="s">
        <v>146</v>
      </c>
      <c r="B86" s="36">
        <v>45760</v>
      </c>
      <c r="C86" s="37" t="s">
        <v>36</v>
      </c>
      <c r="D86" s="37" t="s">
        <v>12</v>
      </c>
      <c r="E86" s="37" t="s">
        <v>20</v>
      </c>
      <c r="F86" s="37" t="s">
        <v>21</v>
      </c>
      <c r="G86" s="38">
        <v>9</v>
      </c>
      <c r="H86" s="38">
        <v>450</v>
      </c>
      <c r="I86" s="37" t="s">
        <v>22</v>
      </c>
      <c r="J86" s="37" t="s">
        <v>16</v>
      </c>
      <c r="K86" s="39">
        <v>4050</v>
      </c>
    </row>
    <row r="87" spans="1:11" x14ac:dyDescent="0.35">
      <c r="A87" s="40" t="s">
        <v>147</v>
      </c>
      <c r="B87" s="41">
        <v>45765</v>
      </c>
      <c r="C87" s="42" t="s">
        <v>49</v>
      </c>
      <c r="D87" s="42" t="s">
        <v>30</v>
      </c>
      <c r="E87" s="42" t="s">
        <v>41</v>
      </c>
      <c r="F87" s="42" t="s">
        <v>42</v>
      </c>
      <c r="G87" s="43">
        <v>7</v>
      </c>
      <c r="H87" s="43">
        <v>52000</v>
      </c>
      <c r="I87" s="42" t="s">
        <v>47</v>
      </c>
      <c r="J87" s="42" t="s">
        <v>16</v>
      </c>
      <c r="K87" s="44">
        <v>364000</v>
      </c>
    </row>
    <row r="88" spans="1:11" x14ac:dyDescent="0.35">
      <c r="A88" s="35" t="s">
        <v>148</v>
      </c>
      <c r="B88" s="36">
        <v>45766</v>
      </c>
      <c r="C88" s="37" t="s">
        <v>63</v>
      </c>
      <c r="D88" s="37" t="s">
        <v>19</v>
      </c>
      <c r="E88" s="37" t="s">
        <v>13</v>
      </c>
      <c r="F88" s="37" t="s">
        <v>14</v>
      </c>
      <c r="G88" s="38">
        <v>7</v>
      </c>
      <c r="H88" s="38">
        <v>750</v>
      </c>
      <c r="I88" s="37" t="s">
        <v>31</v>
      </c>
      <c r="J88" s="37" t="s">
        <v>27</v>
      </c>
      <c r="K88" s="39">
        <v>5250</v>
      </c>
    </row>
    <row r="89" spans="1:11" x14ac:dyDescent="0.35">
      <c r="A89" s="40" t="s">
        <v>149</v>
      </c>
      <c r="B89" s="41">
        <v>45766</v>
      </c>
      <c r="C89" s="42" t="s">
        <v>24</v>
      </c>
      <c r="D89" s="42" t="s">
        <v>19</v>
      </c>
      <c r="E89" s="42" t="s">
        <v>20</v>
      </c>
      <c r="F89" s="42" t="s">
        <v>21</v>
      </c>
      <c r="G89" s="43">
        <v>7</v>
      </c>
      <c r="H89" s="43">
        <v>450</v>
      </c>
      <c r="I89" s="42" t="s">
        <v>31</v>
      </c>
      <c r="J89" s="42" t="s">
        <v>16</v>
      </c>
      <c r="K89" s="44">
        <v>3150</v>
      </c>
    </row>
    <row r="90" spans="1:11" x14ac:dyDescent="0.35">
      <c r="A90" s="35" t="s">
        <v>150</v>
      </c>
      <c r="B90" s="36">
        <v>45767</v>
      </c>
      <c r="C90" s="37" t="s">
        <v>49</v>
      </c>
      <c r="D90" s="37" t="s">
        <v>55</v>
      </c>
      <c r="E90" s="37" t="s">
        <v>25</v>
      </c>
      <c r="F90" s="37" t="s">
        <v>26</v>
      </c>
      <c r="G90" s="38">
        <v>1</v>
      </c>
      <c r="H90" s="38">
        <v>1200</v>
      </c>
      <c r="I90" s="37" t="s">
        <v>38</v>
      </c>
      <c r="J90" s="37" t="s">
        <v>210</v>
      </c>
      <c r="K90" s="39">
        <v>1200</v>
      </c>
    </row>
    <row r="91" spans="1:11" x14ac:dyDescent="0.35">
      <c r="A91" s="40" t="s">
        <v>151</v>
      </c>
      <c r="B91" s="41">
        <v>45772</v>
      </c>
      <c r="C91" s="42" t="s">
        <v>85</v>
      </c>
      <c r="D91" s="42" t="s">
        <v>30</v>
      </c>
      <c r="E91" s="42" t="s">
        <v>46</v>
      </c>
      <c r="F91" s="42" t="s">
        <v>42</v>
      </c>
      <c r="G91" s="43">
        <v>2</v>
      </c>
      <c r="H91" s="43">
        <v>9500</v>
      </c>
      <c r="I91" s="42" t="s">
        <v>22</v>
      </c>
      <c r="J91" s="42" t="s">
        <v>210</v>
      </c>
      <c r="K91" s="44">
        <v>19000</v>
      </c>
    </row>
    <row r="92" spans="1:11" x14ac:dyDescent="0.35">
      <c r="A92" s="35" t="s">
        <v>152</v>
      </c>
      <c r="B92" s="36">
        <v>45774</v>
      </c>
      <c r="C92" s="37" t="s">
        <v>68</v>
      </c>
      <c r="D92" s="37" t="s">
        <v>53</v>
      </c>
      <c r="E92" s="37" t="s">
        <v>37</v>
      </c>
      <c r="F92" s="37" t="s">
        <v>26</v>
      </c>
      <c r="G92" s="38">
        <v>1</v>
      </c>
      <c r="H92" s="38">
        <v>6800</v>
      </c>
      <c r="I92" s="37" t="s">
        <v>38</v>
      </c>
      <c r="J92" s="37" t="s">
        <v>27</v>
      </c>
      <c r="K92" s="39">
        <v>6800</v>
      </c>
    </row>
    <row r="93" spans="1:11" x14ac:dyDescent="0.35">
      <c r="A93" s="40" t="s">
        <v>153</v>
      </c>
      <c r="B93" s="41">
        <v>45775</v>
      </c>
      <c r="C93" s="42" t="s">
        <v>36</v>
      </c>
      <c r="D93" s="42" t="s">
        <v>55</v>
      </c>
      <c r="E93" s="42" t="s">
        <v>37</v>
      </c>
      <c r="F93" s="42" t="s">
        <v>26</v>
      </c>
      <c r="G93" s="43">
        <v>11</v>
      </c>
      <c r="H93" s="43">
        <v>6800</v>
      </c>
      <c r="I93" s="42" t="s">
        <v>22</v>
      </c>
      <c r="J93" s="42" t="s">
        <v>32</v>
      </c>
      <c r="K93" s="44">
        <v>74800</v>
      </c>
    </row>
    <row r="94" spans="1:11" x14ac:dyDescent="0.35">
      <c r="A94" s="35" t="s">
        <v>154</v>
      </c>
      <c r="B94" s="36">
        <v>45775</v>
      </c>
      <c r="C94" s="37" t="s">
        <v>80</v>
      </c>
      <c r="D94" s="37" t="s">
        <v>30</v>
      </c>
      <c r="E94" s="37" t="s">
        <v>37</v>
      </c>
      <c r="F94" s="37" t="s">
        <v>26</v>
      </c>
      <c r="G94" s="38">
        <v>5</v>
      </c>
      <c r="H94" s="38">
        <v>6800</v>
      </c>
      <c r="I94" s="37" t="s">
        <v>31</v>
      </c>
      <c r="J94" s="37" t="s">
        <v>27</v>
      </c>
      <c r="K94" s="39">
        <v>34000</v>
      </c>
    </row>
    <row r="95" spans="1:11" x14ac:dyDescent="0.35">
      <c r="A95" s="40" t="s">
        <v>155</v>
      </c>
      <c r="B95" s="41">
        <v>45776</v>
      </c>
      <c r="C95" s="42" t="s">
        <v>77</v>
      </c>
      <c r="D95" s="42" t="s">
        <v>19</v>
      </c>
      <c r="E95" s="42" t="s">
        <v>50</v>
      </c>
      <c r="F95" s="42" t="s">
        <v>42</v>
      </c>
      <c r="G95" s="43">
        <v>2</v>
      </c>
      <c r="H95" s="43">
        <v>24000</v>
      </c>
      <c r="I95" s="42" t="s">
        <v>38</v>
      </c>
      <c r="J95" s="42" t="s">
        <v>210</v>
      </c>
      <c r="K95" s="44">
        <v>48000</v>
      </c>
    </row>
    <row r="96" spans="1:11" x14ac:dyDescent="0.35">
      <c r="A96" s="35" t="s">
        <v>156</v>
      </c>
      <c r="B96" s="36">
        <v>45784</v>
      </c>
      <c r="C96" s="37" t="s">
        <v>60</v>
      </c>
      <c r="D96" s="37" t="s">
        <v>30</v>
      </c>
      <c r="E96" s="37" t="s">
        <v>25</v>
      </c>
      <c r="F96" s="37" t="s">
        <v>26</v>
      </c>
      <c r="G96" s="38">
        <v>7</v>
      </c>
      <c r="H96" s="38">
        <v>1200</v>
      </c>
      <c r="I96" s="37" t="s">
        <v>15</v>
      </c>
      <c r="J96" s="37" t="s">
        <v>27</v>
      </c>
      <c r="K96" s="39">
        <v>8400</v>
      </c>
    </row>
    <row r="97" spans="1:11" x14ac:dyDescent="0.35">
      <c r="A97" s="40" t="s">
        <v>157</v>
      </c>
      <c r="B97" s="41">
        <v>45785</v>
      </c>
      <c r="C97" s="42" t="s">
        <v>60</v>
      </c>
      <c r="D97" s="42" t="s">
        <v>30</v>
      </c>
      <c r="E97" s="42" t="s">
        <v>50</v>
      </c>
      <c r="F97" s="42" t="s">
        <v>42</v>
      </c>
      <c r="G97" s="43">
        <v>11</v>
      </c>
      <c r="H97" s="43">
        <v>24000</v>
      </c>
      <c r="I97" s="42" t="s">
        <v>47</v>
      </c>
      <c r="J97" s="42" t="s">
        <v>210</v>
      </c>
      <c r="K97" s="44">
        <v>264000</v>
      </c>
    </row>
    <row r="98" spans="1:11" x14ac:dyDescent="0.35">
      <c r="A98" s="35" t="s">
        <v>158</v>
      </c>
      <c r="B98" s="36">
        <v>45787</v>
      </c>
      <c r="C98" s="37" t="s">
        <v>40</v>
      </c>
      <c r="D98" s="37" t="s">
        <v>53</v>
      </c>
      <c r="E98" s="37" t="s">
        <v>25</v>
      </c>
      <c r="F98" s="37" t="s">
        <v>26</v>
      </c>
      <c r="G98" s="38">
        <v>2</v>
      </c>
      <c r="H98" s="38">
        <v>1200</v>
      </c>
      <c r="I98" s="37" t="s">
        <v>38</v>
      </c>
      <c r="J98" s="37" t="s">
        <v>210</v>
      </c>
      <c r="K98" s="39">
        <v>2400</v>
      </c>
    </row>
    <row r="99" spans="1:11" x14ac:dyDescent="0.35">
      <c r="A99" s="40" t="s">
        <v>159</v>
      </c>
      <c r="B99" s="41">
        <v>45788</v>
      </c>
      <c r="C99" s="42" t="s">
        <v>97</v>
      </c>
      <c r="D99" s="42" t="s">
        <v>55</v>
      </c>
      <c r="E99" s="42" t="s">
        <v>46</v>
      </c>
      <c r="F99" s="42" t="s">
        <v>42</v>
      </c>
      <c r="G99" s="43">
        <v>11</v>
      </c>
      <c r="H99" s="43">
        <v>9500</v>
      </c>
      <c r="I99" s="42" t="s">
        <v>31</v>
      </c>
      <c r="J99" s="42" t="s">
        <v>210</v>
      </c>
      <c r="K99" s="44">
        <v>104500</v>
      </c>
    </row>
    <row r="100" spans="1:11" x14ac:dyDescent="0.35">
      <c r="A100" s="35" t="s">
        <v>160</v>
      </c>
      <c r="B100" s="36">
        <v>45794</v>
      </c>
      <c r="C100" s="37" t="s">
        <v>29</v>
      </c>
      <c r="D100" s="37" t="s">
        <v>53</v>
      </c>
      <c r="E100" s="37" t="s">
        <v>46</v>
      </c>
      <c r="F100" s="37" t="s">
        <v>42</v>
      </c>
      <c r="G100" s="38">
        <v>7</v>
      </c>
      <c r="H100" s="38">
        <v>9500</v>
      </c>
      <c r="I100" s="37" t="s">
        <v>15</v>
      </c>
      <c r="J100" s="37" t="s">
        <v>210</v>
      </c>
      <c r="K100" s="39">
        <v>66500</v>
      </c>
    </row>
    <row r="101" spans="1:11" x14ac:dyDescent="0.35">
      <c r="A101" s="40" t="s">
        <v>161</v>
      </c>
      <c r="B101" s="41">
        <v>45795</v>
      </c>
      <c r="C101" s="42" t="s">
        <v>93</v>
      </c>
      <c r="D101" s="42" t="s">
        <v>30</v>
      </c>
      <c r="E101" s="42" t="s">
        <v>69</v>
      </c>
      <c r="F101" s="42" t="s">
        <v>14</v>
      </c>
      <c r="G101" s="43">
        <v>8</v>
      </c>
      <c r="H101" s="43">
        <v>2300</v>
      </c>
      <c r="I101" s="42" t="s">
        <v>47</v>
      </c>
      <c r="J101" s="42" t="s">
        <v>16</v>
      </c>
      <c r="K101" s="44">
        <v>18400</v>
      </c>
    </row>
    <row r="102" spans="1:11" x14ac:dyDescent="0.35">
      <c r="A102" s="35" t="s">
        <v>162</v>
      </c>
      <c r="B102" s="36">
        <v>45795</v>
      </c>
      <c r="C102" s="37" t="s">
        <v>18</v>
      </c>
      <c r="D102" s="37" t="s">
        <v>30</v>
      </c>
      <c r="E102" s="37" t="s">
        <v>13</v>
      </c>
      <c r="F102" s="37" t="s">
        <v>14</v>
      </c>
      <c r="G102" s="38">
        <v>5</v>
      </c>
      <c r="H102" s="38">
        <v>750</v>
      </c>
      <c r="I102" s="37" t="s">
        <v>38</v>
      </c>
      <c r="J102" s="37" t="s">
        <v>32</v>
      </c>
      <c r="K102" s="39">
        <v>3750</v>
      </c>
    </row>
    <row r="103" spans="1:11" x14ac:dyDescent="0.35">
      <c r="A103" s="40" t="s">
        <v>163</v>
      </c>
      <c r="B103" s="41">
        <v>45797</v>
      </c>
      <c r="C103" s="42" t="s">
        <v>80</v>
      </c>
      <c r="D103" s="42" t="s">
        <v>55</v>
      </c>
      <c r="E103" s="42" t="s">
        <v>20</v>
      </c>
      <c r="F103" s="42" t="s">
        <v>21</v>
      </c>
      <c r="G103" s="43">
        <v>12</v>
      </c>
      <c r="H103" s="43">
        <v>450</v>
      </c>
      <c r="I103" s="42" t="s">
        <v>38</v>
      </c>
      <c r="J103" s="42" t="s">
        <v>58</v>
      </c>
      <c r="K103" s="44">
        <v>5400</v>
      </c>
    </row>
    <row r="104" spans="1:11" x14ac:dyDescent="0.35">
      <c r="A104" s="35" t="s">
        <v>164</v>
      </c>
      <c r="B104" s="36">
        <v>45797</v>
      </c>
      <c r="C104" s="37" t="s">
        <v>85</v>
      </c>
      <c r="D104" s="37" t="s">
        <v>53</v>
      </c>
      <c r="E104" s="37" t="s">
        <v>46</v>
      </c>
      <c r="F104" s="37" t="s">
        <v>42</v>
      </c>
      <c r="G104" s="38">
        <v>2</v>
      </c>
      <c r="H104" s="38">
        <v>9500</v>
      </c>
      <c r="I104" s="37" t="s">
        <v>31</v>
      </c>
      <c r="J104" s="37" t="s">
        <v>16</v>
      </c>
      <c r="K104" s="39">
        <v>19000</v>
      </c>
    </row>
    <row r="105" spans="1:11" x14ac:dyDescent="0.35">
      <c r="A105" s="40" t="s">
        <v>165</v>
      </c>
      <c r="B105" s="41">
        <v>45799</v>
      </c>
      <c r="C105" s="42" t="s">
        <v>80</v>
      </c>
      <c r="D105" s="42" t="s">
        <v>12</v>
      </c>
      <c r="E105" s="42" t="s">
        <v>37</v>
      </c>
      <c r="F105" s="42" t="s">
        <v>26</v>
      </c>
      <c r="G105" s="43">
        <v>10</v>
      </c>
      <c r="H105" s="43">
        <v>6800</v>
      </c>
      <c r="I105" s="42" t="s">
        <v>15</v>
      </c>
      <c r="J105" s="42" t="s">
        <v>58</v>
      </c>
      <c r="K105" s="44">
        <v>68000</v>
      </c>
    </row>
    <row r="106" spans="1:11" x14ac:dyDescent="0.35">
      <c r="A106" s="35" t="s">
        <v>166</v>
      </c>
      <c r="B106" s="36">
        <v>45800</v>
      </c>
      <c r="C106" s="37" t="s">
        <v>111</v>
      </c>
      <c r="D106" s="37" t="s">
        <v>53</v>
      </c>
      <c r="E106" s="37" t="s">
        <v>41</v>
      </c>
      <c r="F106" s="37" t="s">
        <v>42</v>
      </c>
      <c r="G106" s="38">
        <v>6</v>
      </c>
      <c r="H106" s="38">
        <v>52000</v>
      </c>
      <c r="I106" s="37" t="s">
        <v>47</v>
      </c>
      <c r="J106" s="37" t="s">
        <v>16</v>
      </c>
      <c r="K106" s="39">
        <v>312000</v>
      </c>
    </row>
    <row r="107" spans="1:11" x14ac:dyDescent="0.35">
      <c r="A107" s="40" t="s">
        <v>167</v>
      </c>
      <c r="B107" s="41">
        <v>45801</v>
      </c>
      <c r="C107" s="42" t="s">
        <v>93</v>
      </c>
      <c r="D107" s="42" t="s">
        <v>53</v>
      </c>
      <c r="E107" s="42" t="s">
        <v>37</v>
      </c>
      <c r="F107" s="42" t="s">
        <v>26</v>
      </c>
      <c r="G107" s="43">
        <v>5</v>
      </c>
      <c r="H107" s="43">
        <v>6800</v>
      </c>
      <c r="I107" s="42" t="s">
        <v>31</v>
      </c>
      <c r="J107" s="42" t="s">
        <v>58</v>
      </c>
      <c r="K107" s="44">
        <v>34000</v>
      </c>
    </row>
    <row r="108" spans="1:11" x14ac:dyDescent="0.35">
      <c r="A108" s="35" t="s">
        <v>168</v>
      </c>
      <c r="B108" s="36">
        <v>45801</v>
      </c>
      <c r="C108" s="37" t="s">
        <v>97</v>
      </c>
      <c r="D108" s="37" t="s">
        <v>34</v>
      </c>
      <c r="E108" s="37" t="s">
        <v>25</v>
      </c>
      <c r="F108" s="37" t="s">
        <v>26</v>
      </c>
      <c r="G108" s="38">
        <v>9</v>
      </c>
      <c r="H108" s="38">
        <v>1200</v>
      </c>
      <c r="I108" s="37" t="s">
        <v>47</v>
      </c>
      <c r="J108" s="37" t="s">
        <v>210</v>
      </c>
      <c r="K108" s="39">
        <v>10800</v>
      </c>
    </row>
    <row r="109" spans="1:11" x14ac:dyDescent="0.35">
      <c r="A109" s="40" t="s">
        <v>169</v>
      </c>
      <c r="B109" s="41">
        <v>45803</v>
      </c>
      <c r="C109" s="42" t="s">
        <v>11</v>
      </c>
      <c r="D109" s="42" t="s">
        <v>55</v>
      </c>
      <c r="E109" s="42" t="s">
        <v>37</v>
      </c>
      <c r="F109" s="42" t="s">
        <v>26</v>
      </c>
      <c r="G109" s="43">
        <v>9</v>
      </c>
      <c r="H109" s="43">
        <v>6800</v>
      </c>
      <c r="I109" s="42" t="s">
        <v>47</v>
      </c>
      <c r="J109" s="42" t="s">
        <v>16</v>
      </c>
      <c r="K109" s="44">
        <v>61200</v>
      </c>
    </row>
    <row r="110" spans="1:11" x14ac:dyDescent="0.35">
      <c r="A110" s="35" t="s">
        <v>170</v>
      </c>
      <c r="B110" s="36">
        <v>45805</v>
      </c>
      <c r="C110" s="37" t="s">
        <v>80</v>
      </c>
      <c r="D110" s="37" t="s">
        <v>53</v>
      </c>
      <c r="E110" s="37" t="s">
        <v>20</v>
      </c>
      <c r="F110" s="37" t="s">
        <v>21</v>
      </c>
      <c r="G110" s="38">
        <v>1</v>
      </c>
      <c r="H110" s="38">
        <v>450</v>
      </c>
      <c r="I110" s="37" t="s">
        <v>22</v>
      </c>
      <c r="J110" s="37" t="s">
        <v>58</v>
      </c>
      <c r="K110" s="39">
        <v>450</v>
      </c>
    </row>
    <row r="111" spans="1:11" x14ac:dyDescent="0.35">
      <c r="A111" s="40" t="s">
        <v>171</v>
      </c>
      <c r="B111" s="41">
        <v>45807</v>
      </c>
      <c r="C111" s="42" t="s">
        <v>72</v>
      </c>
      <c r="D111" s="42" t="s">
        <v>30</v>
      </c>
      <c r="E111" s="42" t="s">
        <v>37</v>
      </c>
      <c r="F111" s="42" t="s">
        <v>26</v>
      </c>
      <c r="G111" s="43">
        <v>4</v>
      </c>
      <c r="H111" s="43">
        <v>6800</v>
      </c>
      <c r="I111" s="42" t="s">
        <v>31</v>
      </c>
      <c r="J111" s="42" t="s">
        <v>32</v>
      </c>
      <c r="K111" s="44">
        <v>27200</v>
      </c>
    </row>
    <row r="112" spans="1:11" x14ac:dyDescent="0.35">
      <c r="A112" s="35" t="s">
        <v>172</v>
      </c>
      <c r="B112" s="36">
        <v>45807</v>
      </c>
      <c r="C112" s="37" t="s">
        <v>111</v>
      </c>
      <c r="D112" s="37" t="s">
        <v>12</v>
      </c>
      <c r="E112" s="37" t="s">
        <v>46</v>
      </c>
      <c r="F112" s="37" t="s">
        <v>42</v>
      </c>
      <c r="G112" s="38">
        <v>9</v>
      </c>
      <c r="H112" s="38">
        <v>9500</v>
      </c>
      <c r="I112" s="37" t="s">
        <v>31</v>
      </c>
      <c r="J112" s="37" t="s">
        <v>16</v>
      </c>
      <c r="K112" s="39">
        <v>85500</v>
      </c>
    </row>
    <row r="113" spans="1:11" x14ac:dyDescent="0.35">
      <c r="A113" s="40" t="s">
        <v>173</v>
      </c>
      <c r="B113" s="41">
        <v>45808</v>
      </c>
      <c r="C113" s="42" t="s">
        <v>93</v>
      </c>
      <c r="D113" s="42" t="s">
        <v>30</v>
      </c>
      <c r="E113" s="42" t="s">
        <v>46</v>
      </c>
      <c r="F113" s="42" t="s">
        <v>42</v>
      </c>
      <c r="G113" s="43">
        <v>8</v>
      </c>
      <c r="H113" s="43">
        <v>9500</v>
      </c>
      <c r="I113" s="42" t="s">
        <v>31</v>
      </c>
      <c r="J113" s="42" t="s">
        <v>58</v>
      </c>
      <c r="K113" s="44">
        <v>76000</v>
      </c>
    </row>
    <row r="114" spans="1:11" x14ac:dyDescent="0.35">
      <c r="A114" s="35" t="s">
        <v>174</v>
      </c>
      <c r="B114" s="36">
        <v>45809</v>
      </c>
      <c r="C114" s="37" t="s">
        <v>85</v>
      </c>
      <c r="D114" s="37" t="s">
        <v>34</v>
      </c>
      <c r="E114" s="37" t="s">
        <v>25</v>
      </c>
      <c r="F114" s="37" t="s">
        <v>26</v>
      </c>
      <c r="G114" s="38">
        <v>12</v>
      </c>
      <c r="H114" s="38">
        <v>1200</v>
      </c>
      <c r="I114" s="37" t="s">
        <v>47</v>
      </c>
      <c r="J114" s="37" t="s">
        <v>58</v>
      </c>
      <c r="K114" s="39">
        <v>14400</v>
      </c>
    </row>
    <row r="115" spans="1:11" x14ac:dyDescent="0.35">
      <c r="A115" s="40" t="s">
        <v>175</v>
      </c>
      <c r="B115" s="41">
        <v>45812</v>
      </c>
      <c r="C115" s="42" t="s">
        <v>97</v>
      </c>
      <c r="D115" s="42" t="s">
        <v>53</v>
      </c>
      <c r="E115" s="42" t="s">
        <v>50</v>
      </c>
      <c r="F115" s="42" t="s">
        <v>42</v>
      </c>
      <c r="G115" s="43">
        <v>12</v>
      </c>
      <c r="H115" s="43">
        <v>24000</v>
      </c>
      <c r="I115" s="42" t="s">
        <v>47</v>
      </c>
      <c r="J115" s="42" t="s">
        <v>27</v>
      </c>
      <c r="K115" s="44">
        <v>288000</v>
      </c>
    </row>
    <row r="116" spans="1:11" x14ac:dyDescent="0.35">
      <c r="A116" s="35" t="s">
        <v>176</v>
      </c>
      <c r="B116" s="36">
        <v>45812</v>
      </c>
      <c r="C116" s="37" t="s">
        <v>111</v>
      </c>
      <c r="D116" s="37" t="s">
        <v>19</v>
      </c>
      <c r="E116" s="37" t="s">
        <v>37</v>
      </c>
      <c r="F116" s="37" t="s">
        <v>26</v>
      </c>
      <c r="G116" s="38">
        <v>12</v>
      </c>
      <c r="H116" s="38">
        <v>6800</v>
      </c>
      <c r="I116" s="37" t="s">
        <v>38</v>
      </c>
      <c r="J116" s="37" t="s">
        <v>32</v>
      </c>
      <c r="K116" s="39">
        <v>81600</v>
      </c>
    </row>
    <row r="117" spans="1:11" x14ac:dyDescent="0.35">
      <c r="A117" s="40" t="s">
        <v>177</v>
      </c>
      <c r="B117" s="41">
        <v>45813</v>
      </c>
      <c r="C117" s="42" t="s">
        <v>57</v>
      </c>
      <c r="D117" s="42" t="s">
        <v>53</v>
      </c>
      <c r="E117" s="42" t="s">
        <v>25</v>
      </c>
      <c r="F117" s="42" t="s">
        <v>26</v>
      </c>
      <c r="G117" s="43">
        <v>4</v>
      </c>
      <c r="H117" s="43">
        <v>1200</v>
      </c>
      <c r="I117" s="42" t="s">
        <v>31</v>
      </c>
      <c r="J117" s="42" t="s">
        <v>27</v>
      </c>
      <c r="K117" s="44">
        <v>4800</v>
      </c>
    </row>
    <row r="118" spans="1:11" x14ac:dyDescent="0.35">
      <c r="A118" s="35" t="s">
        <v>178</v>
      </c>
      <c r="B118" s="36">
        <v>45816</v>
      </c>
      <c r="C118" s="37" t="s">
        <v>77</v>
      </c>
      <c r="D118" s="37" t="s">
        <v>19</v>
      </c>
      <c r="E118" s="37" t="s">
        <v>46</v>
      </c>
      <c r="F118" s="37" t="s">
        <v>42</v>
      </c>
      <c r="G118" s="38">
        <v>1</v>
      </c>
      <c r="H118" s="38">
        <v>9500</v>
      </c>
      <c r="I118" s="37" t="s">
        <v>38</v>
      </c>
      <c r="J118" s="37" t="s">
        <v>27</v>
      </c>
      <c r="K118" s="39">
        <v>9500</v>
      </c>
    </row>
    <row r="119" spans="1:11" x14ac:dyDescent="0.35">
      <c r="A119" s="40" t="s">
        <v>179</v>
      </c>
      <c r="B119" s="41">
        <v>45818</v>
      </c>
      <c r="C119" s="42" t="s">
        <v>63</v>
      </c>
      <c r="D119" s="42" t="s">
        <v>34</v>
      </c>
      <c r="E119" s="42" t="s">
        <v>25</v>
      </c>
      <c r="F119" s="42" t="s">
        <v>26</v>
      </c>
      <c r="G119" s="43">
        <v>9</v>
      </c>
      <c r="H119" s="43">
        <v>1200</v>
      </c>
      <c r="I119" s="42" t="s">
        <v>31</v>
      </c>
      <c r="J119" s="42" t="s">
        <v>27</v>
      </c>
      <c r="K119" s="44">
        <v>10800</v>
      </c>
    </row>
    <row r="120" spans="1:11" x14ac:dyDescent="0.35">
      <c r="A120" s="35" t="s">
        <v>180</v>
      </c>
      <c r="B120" s="36">
        <v>45818</v>
      </c>
      <c r="C120" s="37" t="s">
        <v>57</v>
      </c>
      <c r="D120" s="37" t="s">
        <v>53</v>
      </c>
      <c r="E120" s="37" t="s">
        <v>20</v>
      </c>
      <c r="F120" s="37" t="s">
        <v>21</v>
      </c>
      <c r="G120" s="38">
        <v>1</v>
      </c>
      <c r="H120" s="38">
        <v>450</v>
      </c>
      <c r="I120" s="37" t="s">
        <v>38</v>
      </c>
      <c r="J120" s="37" t="s">
        <v>58</v>
      </c>
      <c r="K120" s="39">
        <v>450</v>
      </c>
    </row>
    <row r="121" spans="1:11" x14ac:dyDescent="0.35">
      <c r="A121" s="40" t="s">
        <v>181</v>
      </c>
      <c r="B121" s="41">
        <v>45820</v>
      </c>
      <c r="C121" s="42" t="s">
        <v>111</v>
      </c>
      <c r="D121" s="42" t="s">
        <v>55</v>
      </c>
      <c r="E121" s="42" t="s">
        <v>20</v>
      </c>
      <c r="F121" s="42" t="s">
        <v>21</v>
      </c>
      <c r="G121" s="43">
        <v>6</v>
      </c>
      <c r="H121" s="43">
        <v>450</v>
      </c>
      <c r="I121" s="42" t="s">
        <v>47</v>
      </c>
      <c r="J121" s="42" t="s">
        <v>210</v>
      </c>
      <c r="K121" s="44">
        <v>2700</v>
      </c>
    </row>
    <row r="122" spans="1:11" x14ac:dyDescent="0.35">
      <c r="A122" s="35" t="s">
        <v>182</v>
      </c>
      <c r="B122" s="36">
        <v>45820</v>
      </c>
      <c r="C122" s="37" t="s">
        <v>111</v>
      </c>
      <c r="D122" s="37" t="s">
        <v>34</v>
      </c>
      <c r="E122" s="37" t="s">
        <v>25</v>
      </c>
      <c r="F122" s="37" t="s">
        <v>26</v>
      </c>
      <c r="G122" s="38">
        <v>2</v>
      </c>
      <c r="H122" s="38">
        <v>1200</v>
      </c>
      <c r="I122" s="37" t="s">
        <v>15</v>
      </c>
      <c r="J122" s="37" t="s">
        <v>16</v>
      </c>
      <c r="K122" s="39">
        <v>2400</v>
      </c>
    </row>
    <row r="123" spans="1:11" x14ac:dyDescent="0.35">
      <c r="A123" s="40" t="s">
        <v>183</v>
      </c>
      <c r="B123" s="41">
        <v>45821</v>
      </c>
      <c r="C123" s="42" t="s">
        <v>60</v>
      </c>
      <c r="D123" s="42" t="s">
        <v>30</v>
      </c>
      <c r="E123" s="42" t="s">
        <v>50</v>
      </c>
      <c r="F123" s="42" t="s">
        <v>42</v>
      </c>
      <c r="G123" s="43">
        <v>11</v>
      </c>
      <c r="H123" s="43">
        <v>24000</v>
      </c>
      <c r="I123" s="42" t="s">
        <v>22</v>
      </c>
      <c r="J123" s="42" t="s">
        <v>27</v>
      </c>
      <c r="K123" s="44">
        <v>264000</v>
      </c>
    </row>
    <row r="124" spans="1:11" x14ac:dyDescent="0.35">
      <c r="A124" s="35" t="s">
        <v>184</v>
      </c>
      <c r="B124" s="36">
        <v>45821</v>
      </c>
      <c r="C124" s="37" t="s">
        <v>60</v>
      </c>
      <c r="D124" s="37" t="s">
        <v>19</v>
      </c>
      <c r="E124" s="37" t="s">
        <v>13</v>
      </c>
      <c r="F124" s="37" t="s">
        <v>14</v>
      </c>
      <c r="G124" s="38">
        <v>2</v>
      </c>
      <c r="H124" s="38">
        <v>750</v>
      </c>
      <c r="I124" s="37" t="s">
        <v>47</v>
      </c>
      <c r="J124" s="37" t="s">
        <v>210</v>
      </c>
      <c r="K124" s="39">
        <v>1500</v>
      </c>
    </row>
    <row r="125" spans="1:11" x14ac:dyDescent="0.35">
      <c r="A125" s="40" t="s">
        <v>185</v>
      </c>
      <c r="B125" s="41">
        <v>45822</v>
      </c>
      <c r="C125" s="42" t="s">
        <v>40</v>
      </c>
      <c r="D125" s="42" t="s">
        <v>12</v>
      </c>
      <c r="E125" s="42" t="s">
        <v>69</v>
      </c>
      <c r="F125" s="42" t="s">
        <v>14</v>
      </c>
      <c r="G125" s="43">
        <v>10</v>
      </c>
      <c r="H125" s="43">
        <v>2300</v>
      </c>
      <c r="I125" s="42" t="s">
        <v>47</v>
      </c>
      <c r="J125" s="42" t="s">
        <v>32</v>
      </c>
      <c r="K125" s="44">
        <v>23000</v>
      </c>
    </row>
    <row r="126" spans="1:11" x14ac:dyDescent="0.35">
      <c r="A126" s="35" t="s">
        <v>186</v>
      </c>
      <c r="B126" s="36">
        <v>45823</v>
      </c>
      <c r="C126" s="37" t="s">
        <v>80</v>
      </c>
      <c r="D126" s="37" t="s">
        <v>55</v>
      </c>
      <c r="E126" s="37" t="s">
        <v>69</v>
      </c>
      <c r="F126" s="37" t="s">
        <v>14</v>
      </c>
      <c r="G126" s="38">
        <v>5</v>
      </c>
      <c r="H126" s="38">
        <v>2300</v>
      </c>
      <c r="I126" s="37" t="s">
        <v>38</v>
      </c>
      <c r="J126" s="37" t="s">
        <v>16</v>
      </c>
      <c r="K126" s="39">
        <v>11500</v>
      </c>
    </row>
    <row r="127" spans="1:11" x14ac:dyDescent="0.35">
      <c r="A127" s="40" t="s">
        <v>187</v>
      </c>
      <c r="B127" s="41">
        <v>45824</v>
      </c>
      <c r="C127" s="42" t="s">
        <v>60</v>
      </c>
      <c r="D127" s="42" t="s">
        <v>12</v>
      </c>
      <c r="E127" s="42" t="s">
        <v>25</v>
      </c>
      <c r="F127" s="42" t="s">
        <v>26</v>
      </c>
      <c r="G127" s="43">
        <v>1</v>
      </c>
      <c r="H127" s="43">
        <v>1200</v>
      </c>
      <c r="I127" s="42" t="s">
        <v>38</v>
      </c>
      <c r="J127" s="42" t="s">
        <v>210</v>
      </c>
      <c r="K127" s="44">
        <v>1200</v>
      </c>
    </row>
    <row r="128" spans="1:11" x14ac:dyDescent="0.35">
      <c r="A128" s="35" t="s">
        <v>188</v>
      </c>
      <c r="B128" s="36">
        <v>45825</v>
      </c>
      <c r="C128" s="37" t="s">
        <v>68</v>
      </c>
      <c r="D128" s="37" t="s">
        <v>19</v>
      </c>
      <c r="E128" s="37" t="s">
        <v>37</v>
      </c>
      <c r="F128" s="37" t="s">
        <v>26</v>
      </c>
      <c r="G128" s="38">
        <v>11</v>
      </c>
      <c r="H128" s="38">
        <v>6800</v>
      </c>
      <c r="I128" s="37" t="s">
        <v>22</v>
      </c>
      <c r="J128" s="37" t="s">
        <v>27</v>
      </c>
      <c r="K128" s="39">
        <v>74800</v>
      </c>
    </row>
    <row r="129" spans="1:11" x14ac:dyDescent="0.35">
      <c r="A129" s="40" t="s">
        <v>189</v>
      </c>
      <c r="B129" s="41">
        <v>45827</v>
      </c>
      <c r="C129" s="42" t="s">
        <v>77</v>
      </c>
      <c r="D129" s="42" t="s">
        <v>12</v>
      </c>
      <c r="E129" s="42" t="s">
        <v>37</v>
      </c>
      <c r="F129" s="42" t="s">
        <v>26</v>
      </c>
      <c r="G129" s="43">
        <v>2</v>
      </c>
      <c r="H129" s="43">
        <v>6800</v>
      </c>
      <c r="I129" s="42" t="s">
        <v>47</v>
      </c>
      <c r="J129" s="42" t="s">
        <v>210</v>
      </c>
      <c r="K129" s="44">
        <v>13600</v>
      </c>
    </row>
    <row r="130" spans="1:11" x14ac:dyDescent="0.35">
      <c r="A130" s="35" t="s">
        <v>190</v>
      </c>
      <c r="B130" s="36">
        <v>45829</v>
      </c>
      <c r="C130" s="37" t="s">
        <v>80</v>
      </c>
      <c r="D130" s="37" t="s">
        <v>30</v>
      </c>
      <c r="E130" s="37" t="s">
        <v>69</v>
      </c>
      <c r="F130" s="37" t="s">
        <v>14</v>
      </c>
      <c r="G130" s="38">
        <v>10</v>
      </c>
      <c r="H130" s="38">
        <v>2300</v>
      </c>
      <c r="I130" s="37" t="s">
        <v>15</v>
      </c>
      <c r="J130" s="37" t="s">
        <v>58</v>
      </c>
      <c r="K130" s="39">
        <v>23000</v>
      </c>
    </row>
    <row r="131" spans="1:11" x14ac:dyDescent="0.35">
      <c r="A131" s="40" t="s">
        <v>191</v>
      </c>
      <c r="B131" s="41">
        <v>45831</v>
      </c>
      <c r="C131" s="42" t="s">
        <v>85</v>
      </c>
      <c r="D131" s="42" t="s">
        <v>19</v>
      </c>
      <c r="E131" s="42" t="s">
        <v>41</v>
      </c>
      <c r="F131" s="42" t="s">
        <v>42</v>
      </c>
      <c r="G131" s="43">
        <v>12</v>
      </c>
      <c r="H131" s="43">
        <v>52000</v>
      </c>
      <c r="I131" s="42" t="s">
        <v>31</v>
      </c>
      <c r="J131" s="42" t="s">
        <v>16</v>
      </c>
      <c r="K131" s="44">
        <v>624000</v>
      </c>
    </row>
    <row r="132" spans="1:11" x14ac:dyDescent="0.35">
      <c r="A132" s="35" t="s">
        <v>192</v>
      </c>
      <c r="B132" s="36">
        <v>45832</v>
      </c>
      <c r="C132" s="37" t="s">
        <v>85</v>
      </c>
      <c r="D132" s="37" t="s">
        <v>19</v>
      </c>
      <c r="E132" s="37" t="s">
        <v>50</v>
      </c>
      <c r="F132" s="37" t="s">
        <v>42</v>
      </c>
      <c r="G132" s="38">
        <v>11</v>
      </c>
      <c r="H132" s="38">
        <v>24000</v>
      </c>
      <c r="I132" s="37" t="s">
        <v>38</v>
      </c>
      <c r="J132" s="37" t="s">
        <v>27</v>
      </c>
      <c r="K132" s="39">
        <v>264000</v>
      </c>
    </row>
    <row r="133" spans="1:11" x14ac:dyDescent="0.35">
      <c r="A133" s="40" t="s">
        <v>193</v>
      </c>
      <c r="B133" s="41">
        <v>45833</v>
      </c>
      <c r="C133" s="42" t="s">
        <v>57</v>
      </c>
      <c r="D133" s="42" t="s">
        <v>12</v>
      </c>
      <c r="E133" s="42" t="s">
        <v>69</v>
      </c>
      <c r="F133" s="42" t="s">
        <v>14</v>
      </c>
      <c r="G133" s="43">
        <v>4</v>
      </c>
      <c r="H133" s="43">
        <v>2300</v>
      </c>
      <c r="I133" s="42" t="s">
        <v>47</v>
      </c>
      <c r="J133" s="42" t="s">
        <v>58</v>
      </c>
      <c r="K133" s="44">
        <v>9200</v>
      </c>
    </row>
    <row r="134" spans="1:11" x14ac:dyDescent="0.35">
      <c r="A134" s="35" t="s">
        <v>194</v>
      </c>
      <c r="B134" s="36">
        <v>45834</v>
      </c>
      <c r="C134" s="37" t="s">
        <v>49</v>
      </c>
      <c r="D134" s="37" t="s">
        <v>34</v>
      </c>
      <c r="E134" s="37" t="s">
        <v>13</v>
      </c>
      <c r="F134" s="37" t="s">
        <v>14</v>
      </c>
      <c r="G134" s="38">
        <v>3</v>
      </c>
      <c r="H134" s="38">
        <v>750</v>
      </c>
      <c r="I134" s="37" t="s">
        <v>31</v>
      </c>
      <c r="J134" s="37" t="s">
        <v>32</v>
      </c>
      <c r="K134" s="39">
        <v>2250</v>
      </c>
    </row>
    <row r="135" spans="1:11" x14ac:dyDescent="0.35">
      <c r="A135" s="40" t="s">
        <v>195</v>
      </c>
      <c r="B135" s="41">
        <v>45836</v>
      </c>
      <c r="C135" s="42" t="s">
        <v>80</v>
      </c>
      <c r="D135" s="42" t="s">
        <v>34</v>
      </c>
      <c r="E135" s="42" t="s">
        <v>25</v>
      </c>
      <c r="F135" s="42" t="s">
        <v>26</v>
      </c>
      <c r="G135" s="43">
        <v>8</v>
      </c>
      <c r="H135" s="43">
        <v>1200</v>
      </c>
      <c r="I135" s="42" t="s">
        <v>31</v>
      </c>
      <c r="J135" s="42" t="s">
        <v>16</v>
      </c>
      <c r="K135" s="44">
        <v>9600</v>
      </c>
    </row>
    <row r="136" spans="1:11" x14ac:dyDescent="0.35">
      <c r="A136" s="35" t="s">
        <v>196</v>
      </c>
      <c r="B136" s="36">
        <v>45837</v>
      </c>
      <c r="C136" s="37" t="s">
        <v>18</v>
      </c>
      <c r="D136" s="37" t="s">
        <v>12</v>
      </c>
      <c r="E136" s="37" t="s">
        <v>25</v>
      </c>
      <c r="F136" s="37" t="s">
        <v>26</v>
      </c>
      <c r="G136" s="38">
        <v>8</v>
      </c>
      <c r="H136" s="38">
        <v>1200</v>
      </c>
      <c r="I136" s="37" t="s">
        <v>15</v>
      </c>
      <c r="J136" s="37" t="s">
        <v>210</v>
      </c>
      <c r="K136" s="39">
        <v>9600</v>
      </c>
    </row>
    <row r="137" spans="1:11" x14ac:dyDescent="0.35">
      <c r="A137" s="40" t="s">
        <v>197</v>
      </c>
      <c r="B137" s="41">
        <v>45837</v>
      </c>
      <c r="C137" s="42" t="s">
        <v>11</v>
      </c>
      <c r="D137" s="42" t="s">
        <v>30</v>
      </c>
      <c r="E137" s="42" t="s">
        <v>41</v>
      </c>
      <c r="F137" s="42" t="s">
        <v>42</v>
      </c>
      <c r="G137" s="43">
        <v>6</v>
      </c>
      <c r="H137" s="43">
        <v>52000</v>
      </c>
      <c r="I137" s="42" t="s">
        <v>38</v>
      </c>
      <c r="J137" s="42" t="s">
        <v>58</v>
      </c>
      <c r="K137" s="44">
        <v>312000</v>
      </c>
    </row>
    <row r="138" spans="1:11" x14ac:dyDescent="0.35">
      <c r="A138" s="45" t="s">
        <v>198</v>
      </c>
      <c r="B138" s="46">
        <v>45838</v>
      </c>
      <c r="C138" s="47" t="s">
        <v>49</v>
      </c>
      <c r="D138" s="47" t="s">
        <v>45</v>
      </c>
      <c r="E138" s="47" t="s">
        <v>41</v>
      </c>
      <c r="F138" s="47" t="s">
        <v>42</v>
      </c>
      <c r="G138" s="30">
        <v>11</v>
      </c>
      <c r="H138" s="30">
        <v>52000</v>
      </c>
      <c r="I138" s="47" t="s">
        <v>38</v>
      </c>
      <c r="J138" s="47" t="s">
        <v>32</v>
      </c>
      <c r="K138" s="31">
        <v>572000</v>
      </c>
    </row>
  </sheetData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AC11-BAE6-47E7-B96F-B6A7FEB072BA}">
  <dimension ref="A1:N19"/>
  <sheetViews>
    <sheetView workbookViewId="0">
      <selection activeCell="A20" sqref="A20"/>
    </sheetView>
  </sheetViews>
  <sheetFormatPr defaultRowHeight="14.5" x14ac:dyDescent="0.35"/>
  <sheetData>
    <row r="1" spans="1:14" ht="15" thickBot="1" x14ac:dyDescent="0.4"/>
    <row r="2" spans="1:14" x14ac:dyDescent="0.35">
      <c r="E2" s="2" t="s">
        <v>203</v>
      </c>
      <c r="F2" s="3"/>
      <c r="G2" s="3"/>
      <c r="H2" s="3"/>
      <c r="I2" s="3"/>
      <c r="J2" s="3"/>
      <c r="K2" s="4"/>
    </row>
    <row r="3" spans="1:14" x14ac:dyDescent="0.35">
      <c r="E3" s="5"/>
      <c r="F3" s="6"/>
      <c r="G3" s="6"/>
      <c r="H3" s="6"/>
      <c r="I3" s="6"/>
      <c r="J3" s="6"/>
      <c r="K3" s="7"/>
    </row>
    <row r="4" spans="1:14" x14ac:dyDescent="0.35">
      <c r="E4" s="5"/>
      <c r="F4" s="6"/>
      <c r="G4" s="6"/>
      <c r="H4" s="6"/>
      <c r="I4" s="6"/>
      <c r="J4" s="6"/>
      <c r="K4" s="7"/>
    </row>
    <row r="5" spans="1:14" ht="15" thickBot="1" x14ac:dyDescent="0.4">
      <c r="E5" s="8"/>
      <c r="F5" s="9"/>
      <c r="G5" s="9"/>
      <c r="H5" s="9"/>
      <c r="I5" s="9"/>
      <c r="J5" s="9"/>
      <c r="K5" s="10"/>
    </row>
    <row r="6" spans="1:14" ht="15" thickBot="1" x14ac:dyDescent="0.4"/>
    <row r="7" spans="1:14" x14ac:dyDescent="0.35">
      <c r="A7" s="11" t="s">
        <v>199</v>
      </c>
      <c r="B7" s="12"/>
      <c r="C7" s="12"/>
      <c r="D7" s="13"/>
      <c r="F7" s="11" t="s">
        <v>201</v>
      </c>
      <c r="G7" s="12"/>
      <c r="H7" s="12"/>
      <c r="I7" s="13"/>
      <c r="K7" s="11" t="s">
        <v>202</v>
      </c>
      <c r="L7" s="12"/>
      <c r="M7" s="12"/>
      <c r="N7" s="13"/>
    </row>
    <row r="8" spans="1:14" x14ac:dyDescent="0.35">
      <c r="A8" s="14"/>
      <c r="B8" s="15"/>
      <c r="C8" s="15"/>
      <c r="D8" s="16"/>
      <c r="F8" s="14"/>
      <c r="G8" s="15"/>
      <c r="H8" s="15"/>
      <c r="I8" s="16"/>
      <c r="K8" s="14"/>
      <c r="L8" s="15"/>
      <c r="M8" s="15"/>
      <c r="N8" s="16"/>
    </row>
    <row r="9" spans="1:14" ht="14.5" customHeight="1" thickBot="1" x14ac:dyDescent="0.4">
      <c r="A9" s="17"/>
      <c r="B9" s="18"/>
      <c r="C9" s="18"/>
      <c r="D9" s="19"/>
      <c r="F9" s="17"/>
      <c r="G9" s="18"/>
      <c r="H9" s="18"/>
      <c r="I9" s="19"/>
      <c r="K9" s="17"/>
      <c r="L9" s="18"/>
      <c r="M9" s="18"/>
      <c r="N9" s="19"/>
    </row>
    <row r="10" spans="1:14" x14ac:dyDescent="0.35">
      <c r="A10" s="20">
        <f>SUM(Sales_Data!K:K)</f>
        <v>11943250</v>
      </c>
      <c r="B10" s="21"/>
      <c r="C10" s="21"/>
      <c r="D10" s="22"/>
      <c r="F10" s="20">
        <f>AVERAGE(Sales_Data!K:K)</f>
        <v>87177.007299270073</v>
      </c>
      <c r="G10" s="21"/>
      <c r="H10" s="21"/>
      <c r="I10" s="22"/>
      <c r="K10" s="20">
        <f>MAX(Sales_Data!K:K)</f>
        <v>624000</v>
      </c>
      <c r="L10" s="21"/>
      <c r="M10" s="21"/>
      <c r="N10" s="22"/>
    </row>
    <row r="11" spans="1:14" x14ac:dyDescent="0.35">
      <c r="A11" s="23"/>
      <c r="B11" s="24"/>
      <c r="C11" s="24"/>
      <c r="D11" s="25"/>
      <c r="F11" s="23"/>
      <c r="G11" s="24"/>
      <c r="H11" s="24"/>
      <c r="I11" s="25"/>
      <c r="K11" s="23"/>
      <c r="L11" s="24"/>
      <c r="M11" s="24"/>
      <c r="N11" s="25"/>
    </row>
    <row r="12" spans="1:14" ht="14.5" customHeight="1" thickBot="1" x14ac:dyDescent="0.4">
      <c r="A12" s="26"/>
      <c r="B12" s="27"/>
      <c r="C12" s="27"/>
      <c r="D12" s="28"/>
      <c r="F12" s="26"/>
      <c r="G12" s="27"/>
      <c r="H12" s="27"/>
      <c r="I12" s="28"/>
      <c r="K12" s="26"/>
      <c r="L12" s="27"/>
      <c r="M12" s="27"/>
      <c r="N12" s="28"/>
    </row>
    <row r="13" spans="1:14" ht="14.5" customHeight="1" thickBot="1" x14ac:dyDescent="0.4">
      <c r="A13" s="1"/>
      <c r="B13" s="1"/>
    </row>
    <row r="14" spans="1:14" ht="15" customHeight="1" x14ac:dyDescent="0.35">
      <c r="A14" s="11" t="s">
        <v>204</v>
      </c>
      <c r="B14" s="12"/>
      <c r="C14" s="12"/>
      <c r="D14" s="13"/>
    </row>
    <row r="15" spans="1:14" x14ac:dyDescent="0.35">
      <c r="A15" s="14"/>
      <c r="B15" s="15"/>
      <c r="C15" s="15"/>
      <c r="D15" s="16"/>
    </row>
    <row r="16" spans="1:14" ht="15" thickBot="1" x14ac:dyDescent="0.4">
      <c r="A16" s="17"/>
      <c r="B16" s="18"/>
      <c r="C16" s="18"/>
      <c r="D16" s="19"/>
    </row>
    <row r="17" spans="1:4" x14ac:dyDescent="0.35">
      <c r="A17" s="20">
        <f>COUNTA(Sales_Data!A:A)</f>
        <v>138</v>
      </c>
      <c r="B17" s="21"/>
      <c r="C17" s="21"/>
      <c r="D17" s="22"/>
    </row>
    <row r="18" spans="1:4" x14ac:dyDescent="0.35">
      <c r="A18" s="23"/>
      <c r="B18" s="24"/>
      <c r="C18" s="24"/>
      <c r="D18" s="25"/>
    </row>
    <row r="19" spans="1:4" ht="15" thickBot="1" x14ac:dyDescent="0.4">
      <c r="A19" s="26"/>
      <c r="B19" s="27"/>
      <c r="C19" s="27"/>
      <c r="D19" s="28"/>
    </row>
  </sheetData>
  <mergeCells count="9">
    <mergeCell ref="E2:K5"/>
    <mergeCell ref="A14:D16"/>
    <mergeCell ref="A17:D19"/>
    <mergeCell ref="A7:D9"/>
    <mergeCell ref="A10:D12"/>
    <mergeCell ref="F7:I9"/>
    <mergeCell ref="F10:I12"/>
    <mergeCell ref="K7:N9"/>
    <mergeCell ref="K10:N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B3D5-32D1-4CB9-A102-350495FB0B55}">
  <dimension ref="A1:I17"/>
  <sheetViews>
    <sheetView tabSelected="1" workbookViewId="0">
      <selection activeCell="B16" sqref="B16"/>
    </sheetView>
  </sheetViews>
  <sheetFormatPr defaultRowHeight="14.5" x14ac:dyDescent="0.35"/>
  <cols>
    <col min="1" max="1" width="12.453125" bestFit="1" customWidth="1"/>
    <col min="2" max="2" width="11.54296875" bestFit="1" customWidth="1"/>
    <col min="4" max="4" width="14" bestFit="1" customWidth="1"/>
    <col min="5" max="5" width="11.54296875" bestFit="1" customWidth="1"/>
    <col min="7" max="7" width="12.453125" bestFit="1" customWidth="1"/>
    <col min="8" max="8" width="15.6328125" bestFit="1" customWidth="1"/>
    <col min="9" max="9" width="11.54296875" bestFit="1" customWidth="1"/>
  </cols>
  <sheetData>
    <row r="1" spans="1:9" ht="15" thickBot="1" x14ac:dyDescent="0.4"/>
    <row r="2" spans="1:9" x14ac:dyDescent="0.35">
      <c r="C2" s="50" t="s">
        <v>209</v>
      </c>
      <c r="D2" s="51"/>
      <c r="E2" s="51"/>
      <c r="F2" s="51"/>
      <c r="G2" s="52"/>
    </row>
    <row r="3" spans="1:9" x14ac:dyDescent="0.35">
      <c r="C3" s="53"/>
      <c r="D3" s="54"/>
      <c r="E3" s="54"/>
      <c r="F3" s="54"/>
      <c r="G3" s="55"/>
    </row>
    <row r="4" spans="1:9" ht="15" thickBot="1" x14ac:dyDescent="0.4">
      <c r="C4" s="56"/>
      <c r="D4" s="57"/>
      <c r="E4" s="57"/>
      <c r="F4" s="57"/>
      <c r="G4" s="58"/>
    </row>
    <row r="6" spans="1:9" x14ac:dyDescent="0.35">
      <c r="A6" s="48" t="s">
        <v>206</v>
      </c>
      <c r="B6" t="s">
        <v>207</v>
      </c>
      <c r="D6" s="48" t="s">
        <v>206</v>
      </c>
      <c r="E6" t="s">
        <v>207</v>
      </c>
      <c r="G6" s="48" t="s">
        <v>206</v>
      </c>
      <c r="H6" t="s">
        <v>208</v>
      </c>
      <c r="I6" t="s">
        <v>207</v>
      </c>
    </row>
    <row r="7" spans="1:9" x14ac:dyDescent="0.35">
      <c r="A7" s="49" t="s">
        <v>14</v>
      </c>
      <c r="B7" s="29">
        <v>319800</v>
      </c>
      <c r="D7" s="49" t="s">
        <v>25</v>
      </c>
      <c r="E7" s="29">
        <v>172800</v>
      </c>
      <c r="G7" s="49" t="s">
        <v>22</v>
      </c>
      <c r="H7" s="29">
        <v>26</v>
      </c>
      <c r="I7" s="29">
        <v>3431400</v>
      </c>
    </row>
    <row r="8" spans="1:9" x14ac:dyDescent="0.35">
      <c r="A8" s="49" t="s">
        <v>42</v>
      </c>
      <c r="B8" s="29">
        <v>10503000</v>
      </c>
      <c r="D8" s="49" t="s">
        <v>211</v>
      </c>
      <c r="E8" s="29">
        <v>6900</v>
      </c>
      <c r="G8" s="49" t="s">
        <v>47</v>
      </c>
      <c r="H8" s="29">
        <v>28</v>
      </c>
      <c r="I8" s="29">
        <v>2733550</v>
      </c>
    </row>
    <row r="9" spans="1:9" x14ac:dyDescent="0.35">
      <c r="A9" s="49" t="s">
        <v>26</v>
      </c>
      <c r="B9" s="29">
        <v>1084000</v>
      </c>
      <c r="D9" s="49" t="s">
        <v>69</v>
      </c>
      <c r="E9" s="29">
        <v>248400</v>
      </c>
      <c r="G9" s="49" t="s">
        <v>31</v>
      </c>
      <c r="H9" s="29">
        <v>32</v>
      </c>
      <c r="I9" s="29">
        <v>1473500</v>
      </c>
    </row>
    <row r="10" spans="1:9" x14ac:dyDescent="0.35">
      <c r="A10" s="49" t="s">
        <v>21</v>
      </c>
      <c r="B10" s="29">
        <v>36450</v>
      </c>
      <c r="D10" s="49" t="s">
        <v>41</v>
      </c>
      <c r="E10" s="29">
        <v>7280000</v>
      </c>
      <c r="G10" s="49" t="s">
        <v>132</v>
      </c>
      <c r="H10" s="29">
        <v>1</v>
      </c>
      <c r="I10" s="29">
        <v>104000</v>
      </c>
    </row>
    <row r="11" spans="1:9" x14ac:dyDescent="0.35">
      <c r="A11" s="49" t="s">
        <v>205</v>
      </c>
      <c r="B11" s="29">
        <v>11943250</v>
      </c>
      <c r="D11" s="49" t="s">
        <v>20</v>
      </c>
      <c r="E11" s="29">
        <v>36450</v>
      </c>
      <c r="G11" s="49" t="s">
        <v>15</v>
      </c>
      <c r="H11" s="29">
        <v>19</v>
      </c>
      <c r="I11" s="29">
        <v>1435200</v>
      </c>
    </row>
    <row r="12" spans="1:9" x14ac:dyDescent="0.35">
      <c r="D12" s="49" t="s">
        <v>37</v>
      </c>
      <c r="E12" s="29">
        <v>911200</v>
      </c>
      <c r="G12" s="49" t="s">
        <v>38</v>
      </c>
      <c r="H12" s="29">
        <v>31</v>
      </c>
      <c r="I12" s="29">
        <v>2765600</v>
      </c>
    </row>
    <row r="13" spans="1:9" x14ac:dyDescent="0.35">
      <c r="D13" s="49" t="s">
        <v>46</v>
      </c>
      <c r="E13" s="29">
        <v>703000</v>
      </c>
      <c r="G13" s="49" t="s">
        <v>205</v>
      </c>
      <c r="H13" s="29">
        <v>137</v>
      </c>
      <c r="I13" s="29">
        <v>11943250</v>
      </c>
    </row>
    <row r="14" spans="1:9" x14ac:dyDescent="0.35">
      <c r="D14" s="49" t="s">
        <v>50</v>
      </c>
      <c r="E14" s="29">
        <v>2520000</v>
      </c>
    </row>
    <row r="15" spans="1:9" x14ac:dyDescent="0.35">
      <c r="D15" s="49" t="s">
        <v>95</v>
      </c>
      <c r="E15" s="29">
        <v>6750</v>
      </c>
    </row>
    <row r="16" spans="1:9" x14ac:dyDescent="0.35">
      <c r="D16" s="49" t="s">
        <v>13</v>
      </c>
      <c r="E16" s="29">
        <v>57750</v>
      </c>
    </row>
    <row r="17" spans="4:5" x14ac:dyDescent="0.35">
      <c r="D17" s="49" t="s">
        <v>205</v>
      </c>
      <c r="E17" s="29">
        <v>11943250</v>
      </c>
    </row>
  </sheetData>
  <mergeCells count="1">
    <mergeCell ref="C2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03773-A61D-42D0-B860-297C5A39D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Analysis</vt:lpstr>
      <vt:lpstr>Pivot Analysis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Malkeet Singh</dc:creator>
  <cp:lastModifiedBy>Malkeet Singh</cp:lastModifiedBy>
  <dcterms:created xsi:type="dcterms:W3CDTF">2026-10-02T09:26:34Z</dcterms:created>
  <dcterms:modified xsi:type="dcterms:W3CDTF">2026-10-02T13:20:39Z</dcterms:modified>
</cp:coreProperties>
</file>